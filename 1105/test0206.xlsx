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nrueiyu/Desktop/LAB/03collegeproject/01Matlab/1105/"/>
    </mc:Choice>
  </mc:AlternateContent>
  <xr:revisionPtr revIDLastSave="0" documentId="13_ncr:1_{CA7C8E4F-D8A9-484A-9136-C57A45371CE8}" xr6:coauthVersionLast="47" xr6:coauthVersionMax="47" xr10:uidLastSave="{00000000-0000-0000-0000-000000000000}"/>
  <bookViews>
    <workbookView xWindow="0" yWindow="780" windowWidth="34200" windowHeight="19800" xr2:uid="{9222699D-FE95-5345-ACB2-964E3AB48AD8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C16" i="1"/>
  <c r="D15" i="1"/>
  <c r="C15" i="1"/>
  <c r="D14" i="1"/>
  <c r="C14" i="1"/>
  <c r="D13" i="1"/>
  <c r="C13" i="1"/>
  <c r="C12" i="1"/>
  <c r="D12" i="1"/>
  <c r="D6" i="1"/>
  <c r="C6" i="1"/>
  <c r="D5" i="1"/>
  <c r="C5" i="1"/>
  <c r="D4" i="1"/>
  <c r="C4" i="1"/>
  <c r="D3" i="1"/>
  <c r="C3" i="1"/>
  <c r="C7" i="1"/>
  <c r="D7" i="1"/>
  <c r="O3" i="2" l="1"/>
  <c r="N3" i="2"/>
  <c r="O2" i="2"/>
  <c r="N2" i="2"/>
  <c r="C3" i="2"/>
  <c r="B3" i="2"/>
  <c r="C2" i="2"/>
  <c r="B2" i="2"/>
  <c r="D2" i="1"/>
  <c r="C2" i="1"/>
  <c r="C11" i="1"/>
  <c r="D11" i="1"/>
  <c r="D9" i="1"/>
  <c r="C9" i="1"/>
  <c r="D10" i="1"/>
  <c r="C10" i="1"/>
  <c r="D8" i="1"/>
  <c r="C8" i="1"/>
</calcChain>
</file>

<file path=xl/sharedStrings.xml><?xml version="1.0" encoding="utf-8"?>
<sst xmlns="http://schemas.openxmlformats.org/spreadsheetml/2006/main" count="37" uniqueCount="14">
  <si>
    <t>Spec Name</t>
  </si>
  <si>
    <t>K0</t>
    <phoneticPr fontId="1" type="noConversion"/>
  </si>
  <si>
    <t>Km</t>
  </si>
  <si>
    <t>K1</t>
  </si>
  <si>
    <t>K2</t>
  </si>
  <si>
    <t>K3</t>
    <phoneticPr fontId="1" type="noConversion"/>
  </si>
  <si>
    <t>dK1geo</t>
  </si>
  <si>
    <t>iK1geo</t>
  </si>
  <si>
    <t>dK2geo</t>
  </si>
  <si>
    <t>iK2geo</t>
  </si>
  <si>
    <t>dK3geo</t>
  </si>
  <si>
    <t>iK3geo</t>
  </si>
  <si>
    <t>Spec_Name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</si>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</sst>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A1B8-4B21-B944-995C-0A8304D3ACB7}">
  <dimension ref="A1:M16"/>
  <sheetViews>
    <sheetView tabSelected="1" zoomScale="132" workbookViewId="0">
      <selection activeCell="I17" sqref="I17"/>
    </sheetView>
  </sheetViews>
  <sheetFormatPr baseColWidth="10" defaultRowHeight="15"/>
  <sheetData>
    <row r="1" spans="1:13">
      <c r="A1" t="s">
        <v>13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>
        <v>1</v>
      </c>
      <c r="C2">
        <f>(E2*F2*G2)^(1/3)</f>
        <v>1.2599210498948732</v>
      </c>
      <c r="D2">
        <f t="shared" ref="D2" si="0">AVERAGE(E2:G2)</f>
        <v>1.3333333333333333</v>
      </c>
      <c r="E2">
        <v>2</v>
      </c>
      <c r="F2">
        <v>1</v>
      </c>
      <c r="G2">
        <v>1</v>
      </c>
      <c r="H2">
        <v>315</v>
      </c>
      <c r="I2">
        <v>0</v>
      </c>
      <c r="J2">
        <v>45</v>
      </c>
      <c r="K2">
        <v>0</v>
      </c>
      <c r="L2">
        <v>0</v>
      </c>
      <c r="M2">
        <v>90</v>
      </c>
    </row>
    <row r="3" spans="1:13">
      <c r="A3">
        <v>1</v>
      </c>
      <c r="B3">
        <v>2</v>
      </c>
      <c r="C3">
        <f>(E3*F3*G3)^(1/3)</f>
        <v>1.2599210498948732</v>
      </c>
      <c r="D3">
        <f>AVERAGE(E3:G3)</f>
        <v>1.3333333333333333</v>
      </c>
      <c r="E3">
        <v>2</v>
      </c>
      <c r="F3">
        <v>1</v>
      </c>
      <c r="G3">
        <v>1</v>
      </c>
      <c r="H3">
        <v>315</v>
      </c>
      <c r="I3">
        <v>0</v>
      </c>
      <c r="J3">
        <v>45</v>
      </c>
      <c r="K3">
        <v>0</v>
      </c>
      <c r="L3">
        <v>0</v>
      </c>
      <c r="M3">
        <v>90</v>
      </c>
    </row>
    <row r="4" spans="1:13">
      <c r="A4">
        <v>1</v>
      </c>
      <c r="B4">
        <v>3</v>
      </c>
      <c r="C4">
        <f>(E4*F4*G4)^(1/3)</f>
        <v>1.2599210498948732</v>
      </c>
      <c r="D4">
        <f>AVERAGE(E4:G4)</f>
        <v>1.3333333333333333</v>
      </c>
      <c r="E4">
        <v>2</v>
      </c>
      <c r="F4">
        <v>1</v>
      </c>
      <c r="G4">
        <v>1</v>
      </c>
      <c r="H4">
        <v>315</v>
      </c>
      <c r="I4">
        <v>0</v>
      </c>
      <c r="J4">
        <v>45</v>
      </c>
      <c r="K4">
        <v>0</v>
      </c>
      <c r="L4">
        <v>0</v>
      </c>
      <c r="M4">
        <v>90</v>
      </c>
    </row>
    <row r="5" spans="1:13">
      <c r="A5">
        <v>1</v>
      </c>
      <c r="B5">
        <v>4</v>
      </c>
      <c r="C5">
        <f>(E5*F5*G5)^(1/3)</f>
        <v>1.2599210498948732</v>
      </c>
      <c r="D5">
        <f>AVERAGE(E5:G5)</f>
        <v>1.3333333333333333</v>
      </c>
      <c r="E5">
        <v>2</v>
      </c>
      <c r="F5">
        <v>1</v>
      </c>
      <c r="G5">
        <v>1</v>
      </c>
      <c r="H5">
        <v>315</v>
      </c>
      <c r="I5">
        <v>0</v>
      </c>
      <c r="J5">
        <v>45</v>
      </c>
      <c r="K5">
        <v>0</v>
      </c>
      <c r="L5">
        <v>0</v>
      </c>
      <c r="M5">
        <v>90</v>
      </c>
    </row>
    <row r="6" spans="1:13">
      <c r="A6">
        <v>1</v>
      </c>
      <c r="B6">
        <v>5</v>
      </c>
      <c r="C6">
        <f>(E6*F6*G6)^(1/3)</f>
        <v>1.2599210498948732</v>
      </c>
      <c r="D6">
        <f>AVERAGE(E6:G6)</f>
        <v>1.3333333333333333</v>
      </c>
      <c r="E6">
        <v>2</v>
      </c>
      <c r="F6">
        <v>1</v>
      </c>
      <c r="G6">
        <v>1</v>
      </c>
      <c r="H6">
        <v>315</v>
      </c>
      <c r="I6">
        <v>0</v>
      </c>
      <c r="J6">
        <v>45</v>
      </c>
      <c r="K6">
        <v>0</v>
      </c>
      <c r="L6">
        <v>0</v>
      </c>
      <c r="M6">
        <v>90</v>
      </c>
    </row>
    <row r="7" spans="1:13">
      <c r="A7">
        <v>2</v>
      </c>
      <c r="B7">
        <v>6</v>
      </c>
      <c r="C7">
        <f t="shared" ref="C7" si="1">(E7*F7*G7)^(1/3)</f>
        <v>1.2599210498948732</v>
      </c>
      <c r="D7">
        <f>AVERAGE(E7:G7)</f>
        <v>1.3333333333333333</v>
      </c>
      <c r="E7">
        <v>2</v>
      </c>
      <c r="F7">
        <v>1</v>
      </c>
      <c r="G7">
        <v>1</v>
      </c>
      <c r="H7">
        <v>45</v>
      </c>
      <c r="I7">
        <v>0</v>
      </c>
      <c r="J7">
        <v>135</v>
      </c>
      <c r="K7">
        <v>0</v>
      </c>
      <c r="L7">
        <v>0</v>
      </c>
      <c r="M7">
        <v>90</v>
      </c>
    </row>
    <row r="8" spans="1:13">
      <c r="A8">
        <v>2</v>
      </c>
      <c r="B8">
        <v>7</v>
      </c>
      <c r="C8">
        <f>(E8*F8*G8)^(1/3)</f>
        <v>1.2599210498948732</v>
      </c>
      <c r="D8">
        <f>AVERAGE(E8:G8)</f>
        <v>1.3333333333333333</v>
      </c>
      <c r="E8">
        <v>2</v>
      </c>
      <c r="F8">
        <v>1</v>
      </c>
      <c r="G8">
        <v>1</v>
      </c>
      <c r="H8">
        <v>45</v>
      </c>
      <c r="I8">
        <v>0</v>
      </c>
      <c r="J8">
        <v>135</v>
      </c>
      <c r="K8">
        <v>0</v>
      </c>
      <c r="L8">
        <v>0</v>
      </c>
      <c r="M8">
        <v>90</v>
      </c>
    </row>
    <row r="9" spans="1:13">
      <c r="A9">
        <v>2</v>
      </c>
      <c r="B9">
        <v>8</v>
      </c>
      <c r="C9">
        <f>(E9*F9*G9)^(1/3)</f>
        <v>1.2599210498948732</v>
      </c>
      <c r="D9">
        <f>AVERAGE(E9:G9)</f>
        <v>1.3333333333333333</v>
      </c>
      <c r="E9">
        <v>2</v>
      </c>
      <c r="F9">
        <v>1</v>
      </c>
      <c r="G9">
        <v>1</v>
      </c>
      <c r="H9">
        <v>45</v>
      </c>
      <c r="I9">
        <v>0</v>
      </c>
      <c r="J9">
        <v>135</v>
      </c>
      <c r="K9">
        <v>0</v>
      </c>
      <c r="L9">
        <v>0</v>
      </c>
      <c r="M9">
        <v>90</v>
      </c>
    </row>
    <row r="10" spans="1:13">
      <c r="A10">
        <v>2</v>
      </c>
      <c r="B10">
        <v>9</v>
      </c>
      <c r="C10">
        <f>(E10*F10*G10)^(1/3)</f>
        <v>1.2599210498948732</v>
      </c>
      <c r="D10">
        <f t="shared" ref="D10" si="2">AVERAGE(E10:G10)</f>
        <v>1.3333333333333333</v>
      </c>
      <c r="E10">
        <v>2</v>
      </c>
      <c r="F10">
        <v>1</v>
      </c>
      <c r="G10">
        <v>1</v>
      </c>
      <c r="H10">
        <v>45</v>
      </c>
      <c r="I10">
        <v>0</v>
      </c>
      <c r="J10">
        <v>135</v>
      </c>
      <c r="K10">
        <v>0</v>
      </c>
      <c r="L10">
        <v>0</v>
      </c>
      <c r="M10">
        <v>90</v>
      </c>
    </row>
    <row r="11" spans="1:13">
      <c r="A11">
        <v>2</v>
      </c>
      <c r="B11">
        <v>10</v>
      </c>
      <c r="C11">
        <f>(E11*F11*G11)^(1/3)</f>
        <v>1.2599210498948732</v>
      </c>
      <c r="D11">
        <f t="shared" ref="D11" si="3">AVERAGE(E11:G11)</f>
        <v>1.3333333333333333</v>
      </c>
      <c r="E11">
        <v>2</v>
      </c>
      <c r="F11">
        <v>1</v>
      </c>
      <c r="G11">
        <v>1</v>
      </c>
      <c r="H11">
        <v>45</v>
      </c>
      <c r="I11">
        <v>0</v>
      </c>
      <c r="J11">
        <v>135</v>
      </c>
      <c r="K11">
        <v>0</v>
      </c>
      <c r="L11">
        <v>0</v>
      </c>
      <c r="M11">
        <v>90</v>
      </c>
    </row>
    <row r="12" spans="1:13">
      <c r="A12">
        <v>3</v>
      </c>
      <c r="B12">
        <v>11</v>
      </c>
      <c r="C12">
        <f t="shared" ref="C8:C12" si="4">(E12*F12*G12)^(1/3)</f>
        <v>1.2599210498948732</v>
      </c>
      <c r="D12">
        <f t="shared" ref="D8:D12" si="5">AVERAGE(E12:G12)</f>
        <v>1.3333333333333333</v>
      </c>
      <c r="E12">
        <v>2</v>
      </c>
      <c r="F12">
        <v>1</v>
      </c>
      <c r="G12">
        <v>1</v>
      </c>
      <c r="H12">
        <v>90</v>
      </c>
      <c r="I12">
        <v>0</v>
      </c>
      <c r="J12">
        <v>180</v>
      </c>
      <c r="K12">
        <v>0</v>
      </c>
      <c r="L12">
        <v>0</v>
      </c>
      <c r="M12">
        <v>90</v>
      </c>
    </row>
    <row r="13" spans="1:13">
      <c r="A13">
        <v>3</v>
      </c>
      <c r="B13">
        <v>12</v>
      </c>
      <c r="C13">
        <f t="shared" ref="C13:C16" si="6">(E13*F13*G13)^(1/3)</f>
        <v>1.2599210498948732</v>
      </c>
      <c r="D13">
        <f t="shared" ref="D13:D16" si="7">AVERAGE(E13:G13)</f>
        <v>1.3333333333333333</v>
      </c>
      <c r="E13">
        <v>2</v>
      </c>
      <c r="F13">
        <v>1</v>
      </c>
      <c r="G13">
        <v>1</v>
      </c>
      <c r="H13">
        <v>90</v>
      </c>
      <c r="I13">
        <v>0</v>
      </c>
      <c r="J13">
        <v>180</v>
      </c>
      <c r="K13">
        <v>0</v>
      </c>
      <c r="L13">
        <v>0</v>
      </c>
      <c r="M13">
        <v>90</v>
      </c>
    </row>
    <row r="14" spans="1:13">
      <c r="A14">
        <v>3</v>
      </c>
      <c r="B14">
        <v>13</v>
      </c>
      <c r="C14">
        <f t="shared" si="6"/>
        <v>1.2599210498948732</v>
      </c>
      <c r="D14">
        <f t="shared" si="7"/>
        <v>1.3333333333333333</v>
      </c>
      <c r="E14">
        <v>2</v>
      </c>
      <c r="F14">
        <v>1</v>
      </c>
      <c r="G14">
        <v>1</v>
      </c>
      <c r="H14">
        <v>90</v>
      </c>
      <c r="I14">
        <v>0</v>
      </c>
      <c r="J14">
        <v>180</v>
      </c>
      <c r="K14">
        <v>0</v>
      </c>
      <c r="L14">
        <v>0</v>
      </c>
      <c r="M14">
        <v>90</v>
      </c>
    </row>
    <row r="15" spans="1:13">
      <c r="A15">
        <v>3</v>
      </c>
      <c r="B15">
        <v>14</v>
      </c>
      <c r="C15">
        <f t="shared" si="6"/>
        <v>1.2599210498948732</v>
      </c>
      <c r="D15">
        <f t="shared" si="7"/>
        <v>1.3333333333333333</v>
      </c>
      <c r="E15">
        <v>2</v>
      </c>
      <c r="F15">
        <v>1</v>
      </c>
      <c r="G15">
        <v>1</v>
      </c>
      <c r="H15">
        <v>90</v>
      </c>
      <c r="I15">
        <v>0</v>
      </c>
      <c r="J15">
        <v>180</v>
      </c>
      <c r="K15">
        <v>0</v>
      </c>
      <c r="L15">
        <v>0</v>
      </c>
      <c r="M15">
        <v>90</v>
      </c>
    </row>
    <row r="16" spans="1:13">
      <c r="A16">
        <v>3</v>
      </c>
      <c r="B16">
        <v>15</v>
      </c>
      <c r="C16">
        <f t="shared" si="6"/>
        <v>1.2599210498948732</v>
      </c>
      <c r="D16">
        <f t="shared" si="7"/>
        <v>1.3333333333333333</v>
      </c>
      <c r="E16">
        <v>2</v>
      </c>
      <c r="F16">
        <v>1</v>
      </c>
      <c r="G16">
        <v>1</v>
      </c>
      <c r="H16">
        <v>90</v>
      </c>
      <c r="I16">
        <v>0</v>
      </c>
      <c r="J16">
        <v>180</v>
      </c>
      <c r="K16">
        <v>0</v>
      </c>
      <c r="L16">
        <v>0</v>
      </c>
      <c r="M16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46ED-BB6E-DB4E-87DE-CBA035020621}">
  <dimension ref="A1:X3"/>
  <sheetViews>
    <sheetView workbookViewId="0">
      <selection activeCell="M1" sqref="M1:X3"/>
    </sheetView>
  </sheetViews>
  <sheetFormatPr baseColWidth="10"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</row>
    <row r="2" spans="1:24">
      <c r="A2">
        <v>1</v>
      </c>
      <c r="B2">
        <f>(D2*E2*F2)^(1/3)</f>
        <v>0.98648482973218798</v>
      </c>
      <c r="C2">
        <f t="shared" ref="C2:C3" si="0">AVERAGE(D2:F2)</f>
        <v>1</v>
      </c>
      <c r="D2">
        <v>1.2</v>
      </c>
      <c r="E2">
        <v>1</v>
      </c>
      <c r="F2">
        <v>0.8</v>
      </c>
      <c r="G2">
        <v>0</v>
      </c>
      <c r="H2">
        <v>0</v>
      </c>
      <c r="I2">
        <v>90</v>
      </c>
      <c r="J2">
        <v>0</v>
      </c>
      <c r="K2">
        <v>0</v>
      </c>
      <c r="L2">
        <v>90</v>
      </c>
      <c r="M2">
        <v>6</v>
      </c>
      <c r="N2">
        <f>(P2*Q2*R2)^(1/3)</f>
        <v>1.2599210498948732</v>
      </c>
      <c r="O2">
        <f>AVERAGE(P2:R2)</f>
        <v>1.3333333333333333</v>
      </c>
      <c r="P2">
        <v>2</v>
      </c>
      <c r="Q2">
        <v>1</v>
      </c>
      <c r="R2">
        <v>1</v>
      </c>
      <c r="S2">
        <v>45</v>
      </c>
      <c r="T2">
        <v>0</v>
      </c>
      <c r="U2">
        <v>135</v>
      </c>
      <c r="V2">
        <v>0</v>
      </c>
      <c r="W2">
        <v>0</v>
      </c>
      <c r="X2">
        <v>90</v>
      </c>
    </row>
    <row r="3" spans="1:24">
      <c r="A3">
        <v>2</v>
      </c>
      <c r="B3">
        <f>(D3*E3*F3)^(1/3)</f>
        <v>0.98648482973218798</v>
      </c>
      <c r="C3">
        <f t="shared" si="0"/>
        <v>1</v>
      </c>
      <c r="D3">
        <v>1.2</v>
      </c>
      <c r="E3">
        <v>1</v>
      </c>
      <c r="F3">
        <v>0.8</v>
      </c>
      <c r="G3">
        <v>90</v>
      </c>
      <c r="H3">
        <v>0</v>
      </c>
      <c r="I3">
        <v>180</v>
      </c>
      <c r="J3">
        <v>0</v>
      </c>
      <c r="K3">
        <v>0</v>
      </c>
      <c r="L3">
        <v>90</v>
      </c>
      <c r="M3">
        <v>7</v>
      </c>
      <c r="N3">
        <f>(P3*Q3*R3)^(1/3)</f>
        <v>1.2599210498948732</v>
      </c>
      <c r="O3">
        <f>AVERAGE(P3:R3)</f>
        <v>1.3333333333333333</v>
      </c>
      <c r="P3">
        <v>2</v>
      </c>
      <c r="Q3">
        <v>1</v>
      </c>
      <c r="R3">
        <v>1</v>
      </c>
      <c r="S3">
        <v>315</v>
      </c>
      <c r="T3">
        <v>0</v>
      </c>
      <c r="U3">
        <v>45</v>
      </c>
      <c r="V3">
        <v>0</v>
      </c>
      <c r="W3">
        <v>0</v>
      </c>
      <c r="X3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連睿宇</dc:creator>
  <cp:lastModifiedBy>連睿宇</cp:lastModifiedBy>
  <dcterms:created xsi:type="dcterms:W3CDTF">2025-06-21T12:18:04Z</dcterms:created>
  <dcterms:modified xsi:type="dcterms:W3CDTF">2026-02-06T11:01:48Z</dcterms:modified>
</cp:coreProperties>
</file>