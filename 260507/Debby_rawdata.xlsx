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03collegeproject/01Matlab/1105/"/>
    </mc:Choice>
  </mc:AlternateContent>
  <xr:revisionPtr revIDLastSave="0" documentId="13_ncr:1_{2551C62D-B840-664B-B2F4-969AD7CCC673}" xr6:coauthVersionLast="47" xr6:coauthVersionMax="47" xr10:uidLastSave="{00000000-0000-0000-0000-000000000000}"/>
  <bookViews>
    <workbookView xWindow="3380" yWindow="2620" windowWidth="27840" windowHeight="16820" xr2:uid="{43A5B242-C99F-3F47-947C-65A5D378BFC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6" i="1" l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<sst xmlns="http://schemas.openxmlformats.org/spreadsheetml/2006/main" count="684" uniqueCount="202">
  <si>
    <t>Group</t>
    <phoneticPr fontId="2" type="noConversion"/>
  </si>
  <si>
    <t>Name</t>
    <phoneticPr fontId="2" type="noConversion"/>
  </si>
  <si>
    <t>Litho</t>
    <phoneticPr fontId="2" type="noConversion"/>
  </si>
  <si>
    <t>Foliation</t>
    <phoneticPr fontId="2" type="noConversion"/>
  </si>
  <si>
    <t>GPS(X)</t>
    <phoneticPr fontId="2" type="noConversion"/>
  </si>
  <si>
    <t>GPS(Y)</t>
    <phoneticPr fontId="2" type="noConversion"/>
  </si>
  <si>
    <t>Distance(km)</t>
    <phoneticPr fontId="2" type="noConversion"/>
  </si>
  <si>
    <t>K1</t>
    <phoneticPr fontId="2" type="noConversion"/>
  </si>
  <si>
    <t>K2</t>
    <phoneticPr fontId="2" type="noConversion"/>
  </si>
  <si>
    <t>K3</t>
    <phoneticPr fontId="2" type="noConversion"/>
  </si>
  <si>
    <t>Km</t>
    <phoneticPr fontId="2" type="noConversion"/>
  </si>
  <si>
    <t>L</t>
    <phoneticPr fontId="2" type="noConversion"/>
  </si>
  <si>
    <t>F</t>
    <phoneticPr fontId="2" type="noConversion"/>
  </si>
  <si>
    <t>P</t>
    <phoneticPr fontId="2" type="noConversion"/>
  </si>
  <si>
    <t>Pj</t>
    <phoneticPr fontId="2" type="noConversion"/>
  </si>
  <si>
    <t>T</t>
    <phoneticPr fontId="2" type="noConversion"/>
  </si>
  <si>
    <t>Int</t>
    <phoneticPr fontId="2" type="noConversion"/>
  </si>
  <si>
    <t>dK1geo</t>
  </si>
  <si>
    <t>iK1geo</t>
  </si>
  <si>
    <t>dK2geo</t>
  </si>
  <si>
    <t>iK2geo</t>
  </si>
  <si>
    <t>dK3geo</t>
  </si>
  <si>
    <t>iK3geo</t>
  </si>
  <si>
    <t>A</t>
    <phoneticPr fontId="2" type="noConversion"/>
  </si>
  <si>
    <t>2023020601A</t>
  </si>
  <si>
    <t>Slate</t>
    <phoneticPr fontId="2" type="noConversion"/>
  </si>
  <si>
    <t>S1</t>
  </si>
  <si>
    <t>2023020601B</t>
  </si>
  <si>
    <t>2023020601C</t>
  </si>
  <si>
    <t>2023020601D</t>
  </si>
  <si>
    <t>2023020602A</t>
  </si>
  <si>
    <t>2023020602B</t>
  </si>
  <si>
    <t>2023020602C</t>
  </si>
  <si>
    <t>2023020602D</t>
  </si>
  <si>
    <t>2023020604A</t>
  </si>
  <si>
    <t>2023020604B</t>
  </si>
  <si>
    <t>2023020604C</t>
  </si>
  <si>
    <t>2023020604D</t>
  </si>
  <si>
    <t>2023020603A</t>
  </si>
  <si>
    <t>2023020603B</t>
  </si>
  <si>
    <t>2023020603C</t>
  </si>
  <si>
    <t>2023020603D</t>
  </si>
  <si>
    <t>2023020802A</t>
  </si>
  <si>
    <t>2023020802B</t>
  </si>
  <si>
    <t>2023020802C</t>
  </si>
  <si>
    <t>2023020802D</t>
  </si>
  <si>
    <t>2023020804A</t>
  </si>
  <si>
    <t>2023020804B</t>
  </si>
  <si>
    <t>2023020804C</t>
  </si>
  <si>
    <t>2023020804D</t>
  </si>
  <si>
    <t>2021092503A</t>
  </si>
  <si>
    <t>2021092503B</t>
  </si>
  <si>
    <t>2021092503C</t>
  </si>
  <si>
    <t>2021092504A</t>
  </si>
  <si>
    <t>2021092504B</t>
  </si>
  <si>
    <t>2021092504C</t>
  </si>
  <si>
    <t>2021092504D</t>
  </si>
  <si>
    <t>2021092504E</t>
  </si>
  <si>
    <t>2021092505A</t>
  </si>
  <si>
    <t>2021092505B</t>
  </si>
  <si>
    <t>2021092505C</t>
  </si>
  <si>
    <t>2021092505D</t>
  </si>
  <si>
    <t>2021092506A</t>
  </si>
  <si>
    <t>2021092506B</t>
  </si>
  <si>
    <t>2021092506C</t>
  </si>
  <si>
    <t>2021092506D</t>
  </si>
  <si>
    <t>2021092507A</t>
  </si>
  <si>
    <t>Green schist</t>
  </si>
  <si>
    <t>S2</t>
  </si>
  <si>
    <t>2021092507B</t>
  </si>
  <si>
    <t>2021092507C</t>
  </si>
  <si>
    <t>2021092507D</t>
  </si>
  <si>
    <t>2021092508A</t>
  </si>
  <si>
    <t>2021092508B</t>
  </si>
  <si>
    <t>2021092508C</t>
  </si>
  <si>
    <t>2021092508D</t>
  </si>
  <si>
    <t>2021092601A</t>
  </si>
  <si>
    <t>2021092601B</t>
  </si>
  <si>
    <t>2021092601C</t>
  </si>
  <si>
    <t>2021092601D</t>
  </si>
  <si>
    <t>2021092602A</t>
  </si>
  <si>
    <t>Meta-sandstone</t>
    <phoneticPr fontId="2" type="noConversion"/>
  </si>
  <si>
    <t>2021092602B</t>
  </si>
  <si>
    <t>2021092602C</t>
  </si>
  <si>
    <t>2021092602D</t>
  </si>
  <si>
    <t>2023020701A</t>
  </si>
  <si>
    <t>2023020701B</t>
  </si>
  <si>
    <t>2023020701C</t>
  </si>
  <si>
    <t>2023020701D</t>
  </si>
  <si>
    <t>2023020702A</t>
  </si>
  <si>
    <t>2023020702B</t>
  </si>
  <si>
    <t>2023020702C</t>
  </si>
  <si>
    <t>2023020702D</t>
  </si>
  <si>
    <t>2021092605A</t>
  </si>
  <si>
    <t>2021092605B</t>
  </si>
  <si>
    <t>2021092605C</t>
  </si>
  <si>
    <t>2021092605D</t>
  </si>
  <si>
    <t>2021092603A</t>
  </si>
  <si>
    <t>2021092603B</t>
  </si>
  <si>
    <t>2021092603C</t>
  </si>
  <si>
    <t>2021092603D</t>
  </si>
  <si>
    <t>2023020704A</t>
  </si>
  <si>
    <t>2023020704B</t>
  </si>
  <si>
    <t>2023020704C</t>
  </si>
  <si>
    <t>2023020704D</t>
  </si>
  <si>
    <t>2023020705A</t>
  </si>
  <si>
    <t>2023020705B</t>
  </si>
  <si>
    <t>2023020705C</t>
  </si>
  <si>
    <t>B</t>
    <phoneticPr fontId="2" type="noConversion"/>
  </si>
  <si>
    <t>2021092607A</t>
  </si>
  <si>
    <t>Phyllite</t>
    <phoneticPr fontId="2" type="noConversion"/>
  </si>
  <si>
    <t>2021092607B</t>
  </si>
  <si>
    <t>2021092607C</t>
  </si>
  <si>
    <t>2021092607D</t>
  </si>
  <si>
    <t>2021092609A</t>
  </si>
  <si>
    <t>Schist</t>
    <phoneticPr fontId="2" type="noConversion"/>
  </si>
  <si>
    <t>2021092609B</t>
  </si>
  <si>
    <t>2021092609C</t>
  </si>
  <si>
    <t>2021092609D</t>
  </si>
  <si>
    <t>2021092610A</t>
  </si>
  <si>
    <t>2021092610B</t>
  </si>
  <si>
    <t>2021092610C</t>
  </si>
  <si>
    <t>2021092610D</t>
  </si>
  <si>
    <t>2023020809A</t>
  </si>
  <si>
    <t>2023020809B</t>
  </si>
  <si>
    <t>2023020809C</t>
  </si>
  <si>
    <t>2023020809D</t>
  </si>
  <si>
    <t>2021092613A</t>
  </si>
  <si>
    <t>2021092613B</t>
  </si>
  <si>
    <t>2021092613C</t>
  </si>
  <si>
    <t>2023020904A</t>
  </si>
  <si>
    <t>2023020904B</t>
  </si>
  <si>
    <t>2023020904C</t>
  </si>
  <si>
    <t>2023020904D</t>
  </si>
  <si>
    <t>20200709-14-A</t>
  </si>
  <si>
    <t>S2</t>
    <phoneticPr fontId="2" type="noConversion"/>
  </si>
  <si>
    <t>20200709-14-B</t>
  </si>
  <si>
    <t>20200709-14-C</t>
  </si>
  <si>
    <t>20190409-1A</t>
  </si>
  <si>
    <t>20190409-1B</t>
  </si>
  <si>
    <t>20190409-1C</t>
  </si>
  <si>
    <t>20190409-1D</t>
  </si>
  <si>
    <t>20190409-1E</t>
  </si>
  <si>
    <t>20190713-2A</t>
  </si>
  <si>
    <t>20190713-2B</t>
  </si>
  <si>
    <t>20190713-2C</t>
  </si>
  <si>
    <t>20190713-2D</t>
  </si>
  <si>
    <t>20200709-13-A</t>
  </si>
  <si>
    <t>20200709-13-B</t>
  </si>
  <si>
    <t>20200709-13-C</t>
  </si>
  <si>
    <t>20190715-4A</t>
  </si>
  <si>
    <t>20190715-4B</t>
  </si>
  <si>
    <t>20190715-4C</t>
  </si>
  <si>
    <t>20190715-4D</t>
  </si>
  <si>
    <t>20200710-06-A</t>
  </si>
  <si>
    <t>20200710-06-B</t>
  </si>
  <si>
    <t>20200710-06-C</t>
  </si>
  <si>
    <t>C</t>
    <phoneticPr fontId="2" type="noConversion"/>
  </si>
  <si>
    <t>20190712-3A</t>
  </si>
  <si>
    <t>20190712-3B</t>
  </si>
  <si>
    <t>20190712-3C</t>
  </si>
  <si>
    <t>20190712-3D</t>
  </si>
  <si>
    <t>20190716-2A</t>
  </si>
  <si>
    <t>20190716-2B</t>
  </si>
  <si>
    <t>20190716-2C</t>
  </si>
  <si>
    <t>20190716-2D</t>
  </si>
  <si>
    <t>20200708-03-A</t>
  </si>
  <si>
    <t>20200708-03-B</t>
  </si>
  <si>
    <t>20200708-03-C</t>
  </si>
  <si>
    <t>2021092615A</t>
  </si>
  <si>
    <t>2021092615B</t>
  </si>
  <si>
    <t>2021092615C</t>
  </si>
  <si>
    <t>20190713-3A</t>
  </si>
  <si>
    <t>20190713-3B</t>
  </si>
  <si>
    <t>20190713-3C</t>
  </si>
  <si>
    <t>20190713-3D</t>
  </si>
  <si>
    <t>20200710-02-A</t>
  </si>
  <si>
    <t>20200710-02-B</t>
  </si>
  <si>
    <t>20200710-02-C</t>
  </si>
  <si>
    <t>2023020908A</t>
  </si>
  <si>
    <t>2023020908B</t>
  </si>
  <si>
    <t>2023020908C</t>
  </si>
  <si>
    <t>2023020908D</t>
  </si>
  <si>
    <t>20200710-05-A</t>
  </si>
  <si>
    <t>20200710-05-B</t>
  </si>
  <si>
    <t>20200710-05-C</t>
  </si>
  <si>
    <t>2023020909A</t>
  </si>
  <si>
    <t>2023020909B</t>
  </si>
  <si>
    <t>2023020909C</t>
  </si>
  <si>
    <t>2023020909D</t>
  </si>
  <si>
    <t>2023020910A</t>
  </si>
  <si>
    <t>2023020910B</t>
  </si>
  <si>
    <t>2023020910C</t>
  </si>
  <si>
    <t>D</t>
    <phoneticPr fontId="2" type="noConversion"/>
  </si>
  <si>
    <t>2023020911A</t>
  </si>
  <si>
    <t>S1</t>
    <phoneticPr fontId="2" type="noConversion"/>
  </si>
  <si>
    <t>2023020911B</t>
  </si>
  <si>
    <t>20190716-1A</t>
  </si>
  <si>
    <t>20190716-1B</t>
  </si>
  <si>
    <t>20190716-1C</t>
  </si>
  <si>
    <t>20190716-1D</t>
  </si>
  <si>
    <t>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</si>
</sst>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2" fontId="1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FA1F-590F-D34F-A399-C0C3F85B9916}">
  <dimension ref="A1:X166"/>
  <sheetViews>
    <sheetView tabSelected="1" workbookViewId="0">
      <selection activeCell="K14" sqref="K14"/>
    </sheetView>
  </sheetViews>
  <sheetFormatPr baseColWidth="10" defaultRowHeight="15"/>
  <cols>
    <col min="8" max="8" width="14.1640625" bestFit="1" customWidth="1"/>
  </cols>
  <sheetData>
    <row r="1" spans="1:24" ht="16">
      <c r="A1" s="1" t="s">
        <v>201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6">
      <c r="A2" s="3">
        <v>1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247204</v>
      </c>
      <c r="G2" s="1">
        <v>2574115</v>
      </c>
      <c r="H2" s="4">
        <v>29.8177251181454</v>
      </c>
      <c r="I2" s="2">
        <v>1.1050000000000001E-2</v>
      </c>
      <c r="J2" s="2">
        <v>7.345E-3</v>
      </c>
      <c r="K2" s="2">
        <v>5.5649999999999996E-3</v>
      </c>
      <c r="L2" s="2">
        <v>7.9850000000000008E-3</v>
      </c>
      <c r="M2" s="1">
        <v>1.32</v>
      </c>
      <c r="N2" s="1">
        <v>1.504</v>
      </c>
      <c r="O2" s="1">
        <v>1.9850000000000001</v>
      </c>
      <c r="P2" s="1">
        <v>1.9930000000000001</v>
      </c>
      <c r="Q2" s="1">
        <v>-0.19</v>
      </c>
      <c r="R2" s="1">
        <f t="shared" ref="R2:R65" si="0">((M2-1)^2+(N2-1)^2)^0.5</f>
        <v>0.59700586261778044</v>
      </c>
      <c r="S2" s="1">
        <v>156.19999999999999</v>
      </c>
      <c r="T2" s="1">
        <v>41.9</v>
      </c>
      <c r="U2" s="1">
        <v>21.5</v>
      </c>
      <c r="V2" s="1">
        <v>38.1</v>
      </c>
      <c r="W2" s="1">
        <v>270.5</v>
      </c>
      <c r="X2" s="1">
        <v>24.6</v>
      </c>
    </row>
    <row r="3" spans="1:24" ht="16">
      <c r="A3" s="3">
        <v>1</v>
      </c>
      <c r="B3" s="1" t="s">
        <v>23</v>
      </c>
      <c r="C3" s="1" t="s">
        <v>27</v>
      </c>
      <c r="D3" s="1" t="s">
        <v>25</v>
      </c>
      <c r="E3" s="1" t="s">
        <v>26</v>
      </c>
      <c r="F3" s="1">
        <v>247204</v>
      </c>
      <c r="G3" s="1">
        <v>2574115</v>
      </c>
      <c r="H3" s="4">
        <v>29.8177251181454</v>
      </c>
      <c r="I3" s="2">
        <v>1.4069999999999999E-2</v>
      </c>
      <c r="J3" s="2">
        <v>9.0670000000000004E-3</v>
      </c>
      <c r="K3" s="2">
        <v>6.9100000000000003E-3</v>
      </c>
      <c r="L3" s="2">
        <v>1.001E-2</v>
      </c>
      <c r="M3" s="1">
        <v>1.3120000000000001</v>
      </c>
      <c r="N3" s="1">
        <v>1.552</v>
      </c>
      <c r="O3" s="1">
        <v>2.036</v>
      </c>
      <c r="P3" s="1">
        <v>2.0489999999999999</v>
      </c>
      <c r="Q3" s="1">
        <v>-0.23599999999999999</v>
      </c>
      <c r="R3" s="1">
        <f t="shared" si="0"/>
        <v>0.63407255105389959</v>
      </c>
      <c r="S3" s="1">
        <v>155.6</v>
      </c>
      <c r="T3" s="1">
        <v>42.1</v>
      </c>
      <c r="U3" s="1">
        <v>26.4</v>
      </c>
      <c r="V3" s="1">
        <v>34.9</v>
      </c>
      <c r="W3" s="1">
        <v>274.5</v>
      </c>
      <c r="X3" s="1">
        <v>28.2</v>
      </c>
    </row>
    <row r="4" spans="1:24" ht="16">
      <c r="A4" s="3">
        <v>1</v>
      </c>
      <c r="B4" s="1" t="s">
        <v>23</v>
      </c>
      <c r="C4" s="1" t="s">
        <v>28</v>
      </c>
      <c r="D4" s="1" t="s">
        <v>25</v>
      </c>
      <c r="E4" s="1" t="s">
        <v>26</v>
      </c>
      <c r="F4" s="1">
        <v>247204</v>
      </c>
      <c r="G4" s="1">
        <v>2574115</v>
      </c>
      <c r="H4" s="4">
        <v>29.8177251181454</v>
      </c>
      <c r="I4" s="2">
        <v>8.4659999999999996E-3</v>
      </c>
      <c r="J4" s="2">
        <v>5.7120000000000001E-3</v>
      </c>
      <c r="K4" s="2">
        <v>4.2630000000000003E-3</v>
      </c>
      <c r="L4" s="2">
        <v>6.1469999999999997E-3</v>
      </c>
      <c r="M4" s="1">
        <v>1.34</v>
      </c>
      <c r="N4" s="1">
        <v>1.482</v>
      </c>
      <c r="O4" s="1">
        <v>1.986</v>
      </c>
      <c r="P4" s="1">
        <v>1.9910000000000001</v>
      </c>
      <c r="Q4" s="1">
        <v>-0.14699999999999999</v>
      </c>
      <c r="R4" s="1">
        <f t="shared" si="0"/>
        <v>0.58985082859990967</v>
      </c>
      <c r="S4" s="1">
        <v>152.69999999999999</v>
      </c>
      <c r="T4" s="1">
        <v>39.799999999999997</v>
      </c>
      <c r="U4" s="1">
        <v>26.6</v>
      </c>
      <c r="V4" s="1">
        <v>35.299999999999997</v>
      </c>
      <c r="W4" s="1">
        <v>272</v>
      </c>
      <c r="X4" s="1">
        <v>30.4</v>
      </c>
    </row>
    <row r="5" spans="1:24" ht="16">
      <c r="A5" s="3">
        <v>1</v>
      </c>
      <c r="B5" s="1" t="s">
        <v>23</v>
      </c>
      <c r="C5" s="1" t="s">
        <v>29</v>
      </c>
      <c r="D5" s="1" t="s">
        <v>25</v>
      </c>
      <c r="E5" s="1" t="s">
        <v>26</v>
      </c>
      <c r="F5" s="1">
        <v>247204</v>
      </c>
      <c r="G5" s="1">
        <v>2574115</v>
      </c>
      <c r="H5" s="4">
        <v>29.8177251181454</v>
      </c>
      <c r="I5" s="2">
        <v>7.698E-3</v>
      </c>
      <c r="J5" s="2">
        <v>5.3080000000000002E-3</v>
      </c>
      <c r="K5" s="2">
        <v>4.1859999999999996E-3</v>
      </c>
      <c r="L5" s="2">
        <v>5.731E-3</v>
      </c>
      <c r="M5" s="1">
        <v>1.268</v>
      </c>
      <c r="N5" s="1">
        <v>1.45</v>
      </c>
      <c r="O5" s="1">
        <v>1.839</v>
      </c>
      <c r="P5" s="1">
        <v>1.8480000000000001</v>
      </c>
      <c r="Q5" s="1">
        <v>-0.22</v>
      </c>
      <c r="R5" s="1">
        <f t="shared" si="0"/>
        <v>0.52375948678759032</v>
      </c>
      <c r="S5" s="1">
        <v>155.5</v>
      </c>
      <c r="T5" s="1">
        <v>39.299999999999997</v>
      </c>
      <c r="U5" s="1">
        <v>25.8</v>
      </c>
      <c r="V5" s="1">
        <v>38</v>
      </c>
      <c r="W5" s="1">
        <v>271.3</v>
      </c>
      <c r="X5" s="1">
        <v>28</v>
      </c>
    </row>
    <row r="6" spans="1:24" ht="16">
      <c r="A6" s="3">
        <v>2</v>
      </c>
      <c r="B6" s="1" t="s">
        <v>23</v>
      </c>
      <c r="C6" s="1" t="s">
        <v>30</v>
      </c>
      <c r="D6" s="1" t="s">
        <v>25</v>
      </c>
      <c r="E6" s="1" t="s">
        <v>26</v>
      </c>
      <c r="F6" s="1">
        <v>247204</v>
      </c>
      <c r="G6" s="1">
        <v>2574115</v>
      </c>
      <c r="H6" s="4">
        <v>29.817725118145383</v>
      </c>
      <c r="I6" s="2">
        <v>7.5469999999999999E-3</v>
      </c>
      <c r="J6" s="2">
        <v>5.2199999999999998E-3</v>
      </c>
      <c r="K6" s="2">
        <v>4.1460000000000004E-3</v>
      </c>
      <c r="L6" s="2">
        <v>5.6379999999999998E-3</v>
      </c>
      <c r="M6" s="1">
        <v>1.2589999999999999</v>
      </c>
      <c r="N6" s="1">
        <v>1.446</v>
      </c>
      <c r="O6" s="1">
        <v>1.82</v>
      </c>
      <c r="P6" s="1">
        <v>1.83</v>
      </c>
      <c r="Q6" s="1">
        <v>-0.23100000000000001</v>
      </c>
      <c r="R6" s="1">
        <f t="shared" si="0"/>
        <v>0.51574896994565089</v>
      </c>
      <c r="S6" s="1">
        <v>124.7</v>
      </c>
      <c r="T6" s="1">
        <v>38.1</v>
      </c>
      <c r="U6" s="1">
        <v>9.9</v>
      </c>
      <c r="V6" s="1">
        <v>28.1</v>
      </c>
      <c r="W6" s="1">
        <v>254.3</v>
      </c>
      <c r="X6" s="1">
        <v>39.1</v>
      </c>
    </row>
    <row r="7" spans="1:24" ht="16">
      <c r="A7" s="3">
        <v>2</v>
      </c>
      <c r="B7" s="1" t="s">
        <v>23</v>
      </c>
      <c r="C7" s="1" t="s">
        <v>31</v>
      </c>
      <c r="D7" s="1" t="s">
        <v>25</v>
      </c>
      <c r="E7" s="1" t="s">
        <v>26</v>
      </c>
      <c r="F7" s="1">
        <v>247204</v>
      </c>
      <c r="G7" s="1">
        <v>2574115</v>
      </c>
      <c r="H7" s="4">
        <v>29.817725118145383</v>
      </c>
      <c r="I7" s="2">
        <v>8.7869999999999997E-3</v>
      </c>
      <c r="J7" s="2">
        <v>5.9049999999999997E-3</v>
      </c>
      <c r="K7" s="2">
        <v>4.4819999999999999E-3</v>
      </c>
      <c r="L7" s="2">
        <v>6.391E-3</v>
      </c>
      <c r="M7" s="1">
        <v>1.3169999999999999</v>
      </c>
      <c r="N7" s="1">
        <v>1.488</v>
      </c>
      <c r="O7" s="1">
        <v>1.9610000000000001</v>
      </c>
      <c r="P7" s="1">
        <v>1.968</v>
      </c>
      <c r="Q7" s="1">
        <v>-0.18099999999999999</v>
      </c>
      <c r="R7" s="1">
        <f t="shared" si="0"/>
        <v>0.58192181605435622</v>
      </c>
      <c r="S7" s="1">
        <v>124.9</v>
      </c>
      <c r="T7" s="1">
        <v>41.7</v>
      </c>
      <c r="U7" s="1">
        <v>9.6</v>
      </c>
      <c r="V7" s="1">
        <v>25.6</v>
      </c>
      <c r="W7" s="1">
        <v>258.10000000000002</v>
      </c>
      <c r="X7" s="1">
        <v>37.5</v>
      </c>
    </row>
    <row r="8" spans="1:24" ht="16">
      <c r="A8" s="3">
        <v>2</v>
      </c>
      <c r="B8" s="1" t="s">
        <v>23</v>
      </c>
      <c r="C8" s="1" t="s">
        <v>32</v>
      </c>
      <c r="D8" s="1" t="s">
        <v>25</v>
      </c>
      <c r="E8" s="1" t="s">
        <v>26</v>
      </c>
      <c r="F8" s="1">
        <v>247204</v>
      </c>
      <c r="G8" s="1">
        <v>2574115</v>
      </c>
      <c r="H8" s="4">
        <v>29.817725118145383</v>
      </c>
      <c r="I8" s="2">
        <v>5.8809999999999999E-3</v>
      </c>
      <c r="J8" s="2">
        <v>4.071E-3</v>
      </c>
      <c r="K8" s="2">
        <v>3.3519999999999999E-3</v>
      </c>
      <c r="L8" s="2">
        <v>4.4349999999999997E-3</v>
      </c>
      <c r="M8" s="1">
        <v>1.214</v>
      </c>
      <c r="N8" s="1">
        <v>1.4450000000000001</v>
      </c>
      <c r="O8" s="1">
        <v>1.754</v>
      </c>
      <c r="P8" s="1">
        <v>1.77</v>
      </c>
      <c r="Q8" s="1">
        <v>-0.309</v>
      </c>
      <c r="R8" s="1">
        <f t="shared" si="0"/>
        <v>0.49378234071299071</v>
      </c>
      <c r="S8" s="1">
        <v>123.7</v>
      </c>
      <c r="T8" s="1">
        <v>36.6</v>
      </c>
      <c r="U8" s="1">
        <v>14.1</v>
      </c>
      <c r="V8" s="1">
        <v>24.3</v>
      </c>
      <c r="W8" s="1">
        <v>258.7</v>
      </c>
      <c r="X8" s="1">
        <v>43.6</v>
      </c>
    </row>
    <row r="9" spans="1:24" ht="16">
      <c r="A9" s="3">
        <v>2</v>
      </c>
      <c r="B9" s="1" t="s">
        <v>23</v>
      </c>
      <c r="C9" s="1" t="s">
        <v>33</v>
      </c>
      <c r="D9" s="1" t="s">
        <v>25</v>
      </c>
      <c r="E9" s="1" t="s">
        <v>26</v>
      </c>
      <c r="F9" s="1">
        <v>247204</v>
      </c>
      <c r="G9" s="1">
        <v>2574115</v>
      </c>
      <c r="H9" s="4">
        <v>29.817725118145383</v>
      </c>
      <c r="I9" s="2">
        <v>8.5129999999999997E-3</v>
      </c>
      <c r="J9" s="2">
        <v>5.5300000000000002E-3</v>
      </c>
      <c r="K9" s="2">
        <v>4.2389999999999997E-3</v>
      </c>
      <c r="L9" s="2">
        <v>6.0939999999999996E-3</v>
      </c>
      <c r="M9" s="1">
        <v>1.304</v>
      </c>
      <c r="N9" s="1">
        <v>1.5389999999999999</v>
      </c>
      <c r="O9" s="1">
        <v>2.008</v>
      </c>
      <c r="P9" s="1">
        <v>2.0209999999999999</v>
      </c>
      <c r="Q9" s="1">
        <v>-0.23699999999999999</v>
      </c>
      <c r="R9" s="1">
        <f t="shared" si="0"/>
        <v>0.61881903655269044</v>
      </c>
      <c r="S9" s="1">
        <v>125.4</v>
      </c>
      <c r="T9" s="1">
        <v>38.5</v>
      </c>
      <c r="U9" s="1">
        <v>13.1</v>
      </c>
      <c r="V9" s="1">
        <v>25.5</v>
      </c>
      <c r="W9" s="1">
        <v>258.8</v>
      </c>
      <c r="X9" s="1">
        <v>40.700000000000003</v>
      </c>
    </row>
    <row r="10" spans="1:24" ht="16">
      <c r="A10" s="3">
        <v>3</v>
      </c>
      <c r="B10" s="1" t="s">
        <v>23</v>
      </c>
      <c r="C10" s="1" t="s">
        <v>34</v>
      </c>
      <c r="D10" s="1" t="s">
        <v>25</v>
      </c>
      <c r="E10" s="1" t="s">
        <v>26</v>
      </c>
      <c r="F10" s="1">
        <v>247700</v>
      </c>
      <c r="G10" s="1">
        <v>2574336</v>
      </c>
      <c r="H10" s="4">
        <v>29.498676517868176</v>
      </c>
      <c r="I10" s="2">
        <v>3.5069999999999997E-2</v>
      </c>
      <c r="J10" s="2">
        <v>1.915E-2</v>
      </c>
      <c r="K10" s="2">
        <v>8.711E-3</v>
      </c>
      <c r="L10" s="2">
        <v>2.0979999999999999E-2</v>
      </c>
      <c r="M10" s="1">
        <v>2.1989999999999998</v>
      </c>
      <c r="N10" s="1">
        <v>1.831</v>
      </c>
      <c r="O10" s="1">
        <v>4.0250000000000004</v>
      </c>
      <c r="P10" s="1">
        <v>4.0419999999999998</v>
      </c>
      <c r="Q10" s="1">
        <v>0.13100000000000001</v>
      </c>
      <c r="R10" s="1">
        <f t="shared" si="0"/>
        <v>1.4588221276084345</v>
      </c>
      <c r="S10" s="1">
        <v>119.2</v>
      </c>
      <c r="T10" s="1">
        <v>26.3</v>
      </c>
      <c r="U10" s="1">
        <v>25.6</v>
      </c>
      <c r="V10" s="1">
        <v>7.1</v>
      </c>
      <c r="W10" s="1">
        <v>281.7</v>
      </c>
      <c r="X10" s="1">
        <v>62.6</v>
      </c>
    </row>
    <row r="11" spans="1:24" ht="16">
      <c r="A11" s="3">
        <v>3</v>
      </c>
      <c r="B11" s="1" t="s">
        <v>23</v>
      </c>
      <c r="C11" s="1" t="s">
        <v>35</v>
      </c>
      <c r="D11" s="1" t="s">
        <v>25</v>
      </c>
      <c r="E11" s="1" t="s">
        <v>26</v>
      </c>
      <c r="F11" s="1">
        <v>247700</v>
      </c>
      <c r="G11" s="1">
        <v>2574336</v>
      </c>
      <c r="H11" s="4">
        <v>29.498676517868176</v>
      </c>
      <c r="I11" s="2">
        <v>2.8209999999999999E-2</v>
      </c>
      <c r="J11" s="2">
        <v>1.545E-2</v>
      </c>
      <c r="K11" s="2">
        <v>7.3689999999999997E-3</v>
      </c>
      <c r="L11" s="2">
        <v>1.7010000000000001E-2</v>
      </c>
      <c r="M11" s="1">
        <v>2.097</v>
      </c>
      <c r="N11" s="1">
        <v>1.825</v>
      </c>
      <c r="O11" s="1">
        <v>3.8279999999999998</v>
      </c>
      <c r="P11" s="1">
        <v>3.8370000000000002</v>
      </c>
      <c r="Q11" s="1">
        <v>0.10299999999999999</v>
      </c>
      <c r="R11" s="1">
        <f t="shared" si="0"/>
        <v>1.3726011802413691</v>
      </c>
      <c r="S11" s="1">
        <v>117.7</v>
      </c>
      <c r="T11" s="1">
        <v>29.4</v>
      </c>
      <c r="U11" s="1">
        <v>25</v>
      </c>
      <c r="V11" s="1">
        <v>4.9000000000000004</v>
      </c>
      <c r="W11" s="1">
        <v>286.39999999999998</v>
      </c>
      <c r="X11" s="1">
        <v>60.1</v>
      </c>
    </row>
    <row r="12" spans="1:24" ht="16">
      <c r="A12" s="3">
        <v>3</v>
      </c>
      <c r="B12" s="1" t="s">
        <v>23</v>
      </c>
      <c r="C12" s="1" t="s">
        <v>36</v>
      </c>
      <c r="D12" s="1" t="s">
        <v>25</v>
      </c>
      <c r="E12" s="1" t="s">
        <v>26</v>
      </c>
      <c r="F12" s="1">
        <v>247700</v>
      </c>
      <c r="G12" s="1">
        <v>2574336</v>
      </c>
      <c r="H12" s="4">
        <v>29.498676517868176</v>
      </c>
      <c r="I12" s="2">
        <v>2.8760000000000001E-2</v>
      </c>
      <c r="J12" s="2">
        <v>1.555E-2</v>
      </c>
      <c r="K12" s="2">
        <v>7.3330000000000001E-3</v>
      </c>
      <c r="L12" s="2">
        <v>1.721E-2</v>
      </c>
      <c r="M12" s="1">
        <v>2.12</v>
      </c>
      <c r="N12" s="1">
        <v>1.85</v>
      </c>
      <c r="O12" s="1">
        <v>3.9220000000000002</v>
      </c>
      <c r="P12" s="1">
        <v>3.931</v>
      </c>
      <c r="Q12" s="1">
        <v>0.1</v>
      </c>
      <c r="R12" s="1">
        <f t="shared" si="0"/>
        <v>1.4060227594174997</v>
      </c>
      <c r="S12" s="1">
        <v>118.3</v>
      </c>
      <c r="T12" s="1">
        <v>27.9</v>
      </c>
      <c r="U12" s="1">
        <v>24.5</v>
      </c>
      <c r="V12" s="1">
        <v>7.1</v>
      </c>
      <c r="W12" s="1">
        <v>281.5</v>
      </c>
      <c r="X12" s="1">
        <v>61.1</v>
      </c>
    </row>
    <row r="13" spans="1:24" ht="16">
      <c r="A13" s="3">
        <v>3</v>
      </c>
      <c r="B13" s="1" t="s">
        <v>23</v>
      </c>
      <c r="C13" s="1" t="s">
        <v>37</v>
      </c>
      <c r="D13" s="1" t="s">
        <v>25</v>
      </c>
      <c r="E13" s="1" t="s">
        <v>26</v>
      </c>
      <c r="F13" s="1">
        <v>247700</v>
      </c>
      <c r="G13" s="1">
        <v>2574336</v>
      </c>
      <c r="H13" s="4">
        <v>29.498676517868176</v>
      </c>
      <c r="I13" s="2">
        <v>2.9829999999999999E-2</v>
      </c>
      <c r="J13" s="2">
        <v>1.6320000000000001E-2</v>
      </c>
      <c r="K13" s="2">
        <v>7.3870000000000003E-3</v>
      </c>
      <c r="L13" s="2">
        <v>1.7850000000000001E-2</v>
      </c>
      <c r="M13" s="1">
        <v>2.21</v>
      </c>
      <c r="N13" s="1">
        <v>1.827</v>
      </c>
      <c r="O13" s="1">
        <v>4.0380000000000003</v>
      </c>
      <c r="P13" s="1">
        <v>4.056</v>
      </c>
      <c r="Q13" s="1">
        <v>0.13600000000000001</v>
      </c>
      <c r="R13" s="1">
        <f t="shared" si="0"/>
        <v>1.4656155703321385</v>
      </c>
      <c r="S13" s="1">
        <v>116.9</v>
      </c>
      <c r="T13" s="1">
        <v>24.6</v>
      </c>
      <c r="U13" s="1">
        <v>24.4</v>
      </c>
      <c r="V13" s="1">
        <v>5.3</v>
      </c>
      <c r="W13" s="1">
        <v>283.2</v>
      </c>
      <c r="X13" s="1">
        <v>64.7</v>
      </c>
    </row>
    <row r="14" spans="1:24" ht="16">
      <c r="A14" s="3">
        <v>4</v>
      </c>
      <c r="B14" s="1" t="s">
        <v>23</v>
      </c>
      <c r="C14" s="1" t="s">
        <v>38</v>
      </c>
      <c r="D14" s="1" t="s">
        <v>25</v>
      </c>
      <c r="E14" s="1" t="s">
        <v>26</v>
      </c>
      <c r="F14" s="1">
        <v>247670</v>
      </c>
      <c r="G14" s="1">
        <v>2574233</v>
      </c>
      <c r="H14" s="4">
        <v>29.473157279981727</v>
      </c>
      <c r="I14" s="2">
        <v>1.635E-3</v>
      </c>
      <c r="J14" s="2">
        <v>1.405E-3</v>
      </c>
      <c r="K14" s="2">
        <v>1.2329999999999999E-3</v>
      </c>
      <c r="L14" s="2">
        <v>1.4239999999999999E-3</v>
      </c>
      <c r="M14" s="1">
        <v>1.139</v>
      </c>
      <c r="N14" s="1">
        <v>1.1639999999999999</v>
      </c>
      <c r="O14" s="1">
        <v>1.3260000000000001</v>
      </c>
      <c r="P14" s="1">
        <v>1.3260000000000001</v>
      </c>
      <c r="Q14" s="1">
        <v>-7.4999999999999997E-2</v>
      </c>
      <c r="R14" s="1">
        <f t="shared" si="0"/>
        <v>0.21498139454380694</v>
      </c>
      <c r="S14" s="1">
        <v>128.19999999999999</v>
      </c>
      <c r="T14" s="1">
        <v>46.2</v>
      </c>
      <c r="U14" s="1">
        <v>11.8</v>
      </c>
      <c r="V14" s="1">
        <v>23.1</v>
      </c>
      <c r="W14" s="1">
        <v>264.60000000000002</v>
      </c>
      <c r="X14" s="1">
        <v>34.700000000000003</v>
      </c>
    </row>
    <row r="15" spans="1:24" ht="16">
      <c r="A15" s="3">
        <v>4</v>
      </c>
      <c r="B15" s="1" t="s">
        <v>23</v>
      </c>
      <c r="C15" s="1" t="s">
        <v>39</v>
      </c>
      <c r="D15" s="1" t="s">
        <v>25</v>
      </c>
      <c r="E15" s="1" t="s">
        <v>26</v>
      </c>
      <c r="F15" s="1">
        <v>247670</v>
      </c>
      <c r="G15" s="1">
        <v>2574233</v>
      </c>
      <c r="H15" s="4">
        <v>29.473157279981727</v>
      </c>
      <c r="I15" s="2">
        <v>1.642E-3</v>
      </c>
      <c r="J15" s="2">
        <v>1.4519999999999999E-3</v>
      </c>
      <c r="K15" s="2">
        <v>1.206E-3</v>
      </c>
      <c r="L15" s="2">
        <v>1.433E-3</v>
      </c>
      <c r="M15" s="1">
        <v>1.2030000000000001</v>
      </c>
      <c r="N15" s="1">
        <v>1.131</v>
      </c>
      <c r="O15" s="1">
        <v>1.361</v>
      </c>
      <c r="P15" s="1">
        <v>1.3640000000000001</v>
      </c>
      <c r="Q15" s="1">
        <v>0.20200000000000001</v>
      </c>
      <c r="R15" s="1">
        <f t="shared" si="0"/>
        <v>0.24159884105682303</v>
      </c>
      <c r="S15" s="1">
        <v>138.69999999999999</v>
      </c>
      <c r="T15" s="1">
        <v>43.8</v>
      </c>
      <c r="U15" s="1">
        <v>18</v>
      </c>
      <c r="V15" s="1">
        <v>28.1</v>
      </c>
      <c r="W15" s="1">
        <v>267.60000000000002</v>
      </c>
      <c r="X15" s="1">
        <v>33.200000000000003</v>
      </c>
    </row>
    <row r="16" spans="1:24" ht="16">
      <c r="A16" s="3">
        <v>4</v>
      </c>
      <c r="B16" s="1" t="s">
        <v>23</v>
      </c>
      <c r="C16" s="1" t="s">
        <v>40</v>
      </c>
      <c r="D16" s="1" t="s">
        <v>25</v>
      </c>
      <c r="E16" s="1" t="s">
        <v>26</v>
      </c>
      <c r="F16" s="1">
        <v>247670</v>
      </c>
      <c r="G16" s="1">
        <v>2574233</v>
      </c>
      <c r="H16" s="4">
        <v>29.473157279981727</v>
      </c>
      <c r="I16" s="2">
        <v>1.2600000000000001E-3</v>
      </c>
      <c r="J16" s="2">
        <v>1.142E-3</v>
      </c>
      <c r="K16" s="2">
        <v>9.9559999999999991E-4</v>
      </c>
      <c r="L16" s="2">
        <v>1.132E-3</v>
      </c>
      <c r="M16" s="1">
        <v>1.147</v>
      </c>
      <c r="N16" s="1">
        <v>1.103</v>
      </c>
      <c r="O16" s="1">
        <v>1.2649999999999999</v>
      </c>
      <c r="P16" s="1">
        <v>1.2669999999999999</v>
      </c>
      <c r="Q16" s="1">
        <v>0.16500000000000001</v>
      </c>
      <c r="R16" s="1">
        <f t="shared" si="0"/>
        <v>0.17949373248110922</v>
      </c>
      <c r="S16" s="1">
        <v>134.80000000000001</v>
      </c>
      <c r="T16" s="1">
        <v>44.4</v>
      </c>
      <c r="U16" s="1">
        <v>16.2</v>
      </c>
      <c r="V16" s="1">
        <v>26.1</v>
      </c>
      <c r="W16" s="1">
        <v>266.7</v>
      </c>
      <c r="X16" s="1">
        <v>34.299999999999997</v>
      </c>
    </row>
    <row r="17" spans="1:24" ht="16">
      <c r="A17" s="3">
        <v>4</v>
      </c>
      <c r="B17" s="1" t="s">
        <v>23</v>
      </c>
      <c r="C17" s="1" t="s">
        <v>41</v>
      </c>
      <c r="D17" s="1" t="s">
        <v>25</v>
      </c>
      <c r="E17" s="1" t="s">
        <v>26</v>
      </c>
      <c r="F17" s="1">
        <v>247670</v>
      </c>
      <c r="G17" s="1">
        <v>2574233</v>
      </c>
      <c r="H17" s="4">
        <v>29.473157279981727</v>
      </c>
      <c r="I17" s="2">
        <v>1.6919999999999999E-3</v>
      </c>
      <c r="J17" s="2">
        <v>1.5009999999999999E-3</v>
      </c>
      <c r="K17" s="2">
        <v>1.2489999999999999E-3</v>
      </c>
      <c r="L17" s="2">
        <v>1.4809999999999999E-3</v>
      </c>
      <c r="M17" s="1">
        <v>1.2010000000000001</v>
      </c>
      <c r="N17" s="1">
        <v>1.1279999999999999</v>
      </c>
      <c r="O17" s="1">
        <v>1.355</v>
      </c>
      <c r="P17" s="1">
        <v>1.3580000000000001</v>
      </c>
      <c r="Q17" s="1">
        <v>0.20699999999999999</v>
      </c>
      <c r="R17" s="1">
        <f t="shared" si="0"/>
        <v>0.23829603437741048</v>
      </c>
      <c r="S17" s="1">
        <v>136.80000000000001</v>
      </c>
      <c r="T17" s="1">
        <v>44.1</v>
      </c>
      <c r="U17" s="1">
        <v>17.399999999999999</v>
      </c>
      <c r="V17" s="1">
        <v>26.9</v>
      </c>
      <c r="W17" s="1">
        <v>267.39999999999998</v>
      </c>
      <c r="X17" s="1">
        <v>33.9</v>
      </c>
    </row>
    <row r="18" spans="1:24" ht="16">
      <c r="A18" s="3">
        <v>5</v>
      </c>
      <c r="B18" s="1" t="s">
        <v>23</v>
      </c>
      <c r="C18" s="1" t="s">
        <v>42</v>
      </c>
      <c r="D18" s="1" t="s">
        <v>25</v>
      </c>
      <c r="E18" s="1" t="s">
        <v>26</v>
      </c>
      <c r="F18" s="1">
        <v>247529</v>
      </c>
      <c r="G18" s="1">
        <v>2573363</v>
      </c>
      <c r="H18" s="4">
        <v>29.160266861915439</v>
      </c>
      <c r="I18" s="2">
        <v>1.5009999999999999E-3</v>
      </c>
      <c r="J18" s="2">
        <v>1.4729999999999999E-3</v>
      </c>
      <c r="K18" s="2">
        <v>1.209E-3</v>
      </c>
      <c r="L18" s="2">
        <v>1.3940000000000001E-3</v>
      </c>
      <c r="M18" s="1">
        <v>1.218</v>
      </c>
      <c r="N18" s="1">
        <v>1.02</v>
      </c>
      <c r="O18" s="1">
        <v>1.2410000000000001</v>
      </c>
      <c r="P18" s="1">
        <v>1.27</v>
      </c>
      <c r="Q18" s="1">
        <v>0.82099999999999995</v>
      </c>
      <c r="R18" s="1">
        <f t="shared" si="0"/>
        <v>0.21891550881561586</v>
      </c>
      <c r="S18" s="1">
        <v>81.099999999999994</v>
      </c>
      <c r="T18" s="1">
        <v>10.9</v>
      </c>
      <c r="U18" s="1">
        <v>178.6</v>
      </c>
      <c r="V18" s="1">
        <v>33.9</v>
      </c>
      <c r="W18" s="1">
        <v>335.8</v>
      </c>
      <c r="X18" s="1">
        <v>53.9</v>
      </c>
    </row>
    <row r="19" spans="1:24" ht="16">
      <c r="A19" s="3">
        <v>5</v>
      </c>
      <c r="B19" s="1" t="s">
        <v>23</v>
      </c>
      <c r="C19" s="1" t="s">
        <v>43</v>
      </c>
      <c r="D19" s="1" t="s">
        <v>25</v>
      </c>
      <c r="E19" s="1" t="s">
        <v>26</v>
      </c>
      <c r="F19" s="1">
        <v>247529</v>
      </c>
      <c r="G19" s="1">
        <v>2573363</v>
      </c>
      <c r="H19" s="4">
        <v>29.160266861915439</v>
      </c>
      <c r="I19" s="2">
        <v>1.3079999999999999E-3</v>
      </c>
      <c r="J19" s="2">
        <v>1.289E-3</v>
      </c>
      <c r="K19" s="2">
        <v>1.0610000000000001E-3</v>
      </c>
      <c r="L19" s="2">
        <v>1.219E-3</v>
      </c>
      <c r="M19" s="1">
        <v>1.2150000000000001</v>
      </c>
      <c r="N19" s="1">
        <v>1.0149999999999999</v>
      </c>
      <c r="O19" s="1">
        <v>1.234</v>
      </c>
      <c r="P19" s="1">
        <v>1.264</v>
      </c>
      <c r="Q19" s="1">
        <v>0.85899999999999999</v>
      </c>
      <c r="R19" s="1">
        <f t="shared" si="0"/>
        <v>0.21552262062252314</v>
      </c>
      <c r="S19" s="1">
        <v>84.6</v>
      </c>
      <c r="T19" s="1">
        <v>11.3</v>
      </c>
      <c r="U19" s="1">
        <v>181.6</v>
      </c>
      <c r="V19" s="1">
        <v>31.4</v>
      </c>
      <c r="W19" s="1">
        <v>337.3</v>
      </c>
      <c r="X19" s="1">
        <v>56.2</v>
      </c>
    </row>
    <row r="20" spans="1:24" ht="16">
      <c r="A20" s="3">
        <v>5</v>
      </c>
      <c r="B20" s="1" t="s">
        <v>23</v>
      </c>
      <c r="C20" s="1" t="s">
        <v>44</v>
      </c>
      <c r="D20" s="1" t="s">
        <v>25</v>
      </c>
      <c r="E20" s="1" t="s">
        <v>26</v>
      </c>
      <c r="F20" s="1">
        <v>247529</v>
      </c>
      <c r="G20" s="1">
        <v>2573363</v>
      </c>
      <c r="H20" s="4">
        <v>29.160266861915439</v>
      </c>
      <c r="I20" s="2">
        <v>1.2390000000000001E-3</v>
      </c>
      <c r="J20" s="2">
        <v>1.224E-3</v>
      </c>
      <c r="K20" s="2">
        <v>1.0059999999999999E-3</v>
      </c>
      <c r="L20" s="2">
        <v>1.1559999999999999E-3</v>
      </c>
      <c r="M20" s="1">
        <v>1.2170000000000001</v>
      </c>
      <c r="N20" s="1">
        <v>1.012</v>
      </c>
      <c r="O20" s="1">
        <v>1.2310000000000001</v>
      </c>
      <c r="P20" s="1">
        <v>1.2629999999999999</v>
      </c>
      <c r="Q20" s="1">
        <v>0.88700000000000001</v>
      </c>
      <c r="R20" s="1">
        <f t="shared" si="0"/>
        <v>0.217331543959914</v>
      </c>
      <c r="S20" s="1">
        <v>86.7</v>
      </c>
      <c r="T20" s="1">
        <v>13.7</v>
      </c>
      <c r="U20" s="1">
        <v>186.7</v>
      </c>
      <c r="V20" s="1">
        <v>35.299999999999997</v>
      </c>
      <c r="W20" s="1">
        <v>338.9</v>
      </c>
      <c r="X20" s="1">
        <v>51.3</v>
      </c>
    </row>
    <row r="21" spans="1:24" ht="16">
      <c r="A21" s="3">
        <v>5</v>
      </c>
      <c r="B21" s="1" t="s">
        <v>23</v>
      </c>
      <c r="C21" s="1" t="s">
        <v>45</v>
      </c>
      <c r="D21" s="1" t="s">
        <v>25</v>
      </c>
      <c r="E21" s="1" t="s">
        <v>26</v>
      </c>
      <c r="F21" s="1">
        <v>247529</v>
      </c>
      <c r="G21" s="1">
        <v>2573363</v>
      </c>
      <c r="H21" s="4">
        <v>29.160266861915439</v>
      </c>
      <c r="I21" s="2">
        <v>1.372E-3</v>
      </c>
      <c r="J21" s="2">
        <v>1.353E-3</v>
      </c>
      <c r="K21" s="2">
        <v>1.1119999999999999E-3</v>
      </c>
      <c r="L21" s="2">
        <v>1.279E-3</v>
      </c>
      <c r="M21" s="1">
        <v>1.2170000000000001</v>
      </c>
      <c r="N21" s="1">
        <v>1.014</v>
      </c>
      <c r="O21" s="1">
        <v>1.234</v>
      </c>
      <c r="P21" s="1">
        <v>1.2649999999999999</v>
      </c>
      <c r="Q21" s="1">
        <v>0.86599999999999999</v>
      </c>
      <c r="R21" s="1">
        <f t="shared" si="0"/>
        <v>0.21745114393812701</v>
      </c>
      <c r="S21" s="1">
        <v>85.5</v>
      </c>
      <c r="T21" s="1">
        <v>14.8</v>
      </c>
      <c r="U21" s="1">
        <v>185.1</v>
      </c>
      <c r="V21" s="1">
        <v>32.5</v>
      </c>
      <c r="W21" s="1">
        <v>334.6</v>
      </c>
      <c r="X21" s="1">
        <v>53.6</v>
      </c>
    </row>
    <row r="22" spans="1:24" ht="16">
      <c r="A22" s="3">
        <v>6</v>
      </c>
      <c r="B22" s="1" t="s">
        <v>23</v>
      </c>
      <c r="C22" s="1" t="s">
        <v>46</v>
      </c>
      <c r="D22" s="1" t="s">
        <v>25</v>
      </c>
      <c r="E22" s="1" t="s">
        <v>26</v>
      </c>
      <c r="F22" s="1">
        <v>247993</v>
      </c>
      <c r="G22" s="1">
        <v>2572272</v>
      </c>
      <c r="H22" s="4">
        <v>28.212931074559343</v>
      </c>
      <c r="I22" s="2">
        <v>2.6719999999999999E-3</v>
      </c>
      <c r="J22" s="2">
        <v>2.5089999999999999E-3</v>
      </c>
      <c r="K22" s="2">
        <v>2.1050000000000001E-3</v>
      </c>
      <c r="L22" s="2">
        <v>2.4290000000000002E-3</v>
      </c>
      <c r="M22" s="1">
        <v>1.1919999999999999</v>
      </c>
      <c r="N22" s="1">
        <v>1.0649999999999999</v>
      </c>
      <c r="O22" s="1">
        <v>1.2689999999999999</v>
      </c>
      <c r="P22" s="1">
        <v>1.28</v>
      </c>
      <c r="Q22" s="1">
        <v>0.47099999999999997</v>
      </c>
      <c r="R22" s="1">
        <f t="shared" si="0"/>
        <v>0.20270421801235408</v>
      </c>
      <c r="S22" s="1">
        <v>295.39999999999998</v>
      </c>
      <c r="T22" s="1">
        <v>8.3000000000000007</v>
      </c>
      <c r="U22" s="1">
        <v>203.7</v>
      </c>
      <c r="V22" s="1">
        <v>11.1</v>
      </c>
      <c r="W22" s="1">
        <v>61.4</v>
      </c>
      <c r="X22" s="1">
        <v>76.099999999999994</v>
      </c>
    </row>
    <row r="23" spans="1:24" ht="16">
      <c r="A23" s="3">
        <v>6</v>
      </c>
      <c r="B23" s="1" t="s">
        <v>23</v>
      </c>
      <c r="C23" s="1" t="s">
        <v>47</v>
      </c>
      <c r="D23" s="1" t="s">
        <v>25</v>
      </c>
      <c r="E23" s="1" t="s">
        <v>26</v>
      </c>
      <c r="F23" s="1">
        <v>247993</v>
      </c>
      <c r="G23" s="1">
        <v>2572272</v>
      </c>
      <c r="H23" s="4">
        <v>28.212931074559343</v>
      </c>
      <c r="I23" s="2">
        <v>2.9239999999999999E-3</v>
      </c>
      <c r="J23" s="2">
        <v>2.7539999999999999E-3</v>
      </c>
      <c r="K23" s="2">
        <v>2.3549999999999999E-3</v>
      </c>
      <c r="L23" s="2">
        <v>2.6779999999999998E-3</v>
      </c>
      <c r="M23" s="1">
        <v>1.169</v>
      </c>
      <c r="N23" s="1">
        <v>1.0620000000000001</v>
      </c>
      <c r="O23" s="1">
        <v>1.2410000000000001</v>
      </c>
      <c r="P23" s="1">
        <v>1.25</v>
      </c>
      <c r="Q23" s="1">
        <v>0.44700000000000001</v>
      </c>
      <c r="R23" s="1">
        <f t="shared" si="0"/>
        <v>0.18001388835309351</v>
      </c>
      <c r="S23" s="1">
        <v>296.39999999999998</v>
      </c>
      <c r="T23" s="1">
        <v>8.1</v>
      </c>
      <c r="U23" s="1">
        <v>204.8</v>
      </c>
      <c r="V23" s="1">
        <v>10.9</v>
      </c>
      <c r="W23" s="1">
        <v>62.4</v>
      </c>
      <c r="X23" s="1">
        <v>76.3</v>
      </c>
    </row>
    <row r="24" spans="1:24" ht="16">
      <c r="A24" s="3">
        <v>6</v>
      </c>
      <c r="B24" s="1" t="s">
        <v>23</v>
      </c>
      <c r="C24" s="1" t="s">
        <v>48</v>
      </c>
      <c r="D24" s="1" t="s">
        <v>25</v>
      </c>
      <c r="E24" s="1" t="s">
        <v>26</v>
      </c>
      <c r="F24" s="1">
        <v>247993</v>
      </c>
      <c r="G24" s="1">
        <v>2572272</v>
      </c>
      <c r="H24" s="4">
        <v>28.212931074559343</v>
      </c>
      <c r="I24" s="2">
        <v>2.6979999999999999E-3</v>
      </c>
      <c r="J24" s="2">
        <v>2.5720000000000001E-3</v>
      </c>
      <c r="K24" s="2">
        <v>2.1180000000000001E-3</v>
      </c>
      <c r="L24" s="2">
        <v>2.4629999999999999E-3</v>
      </c>
      <c r="M24" s="1">
        <v>1.214</v>
      </c>
      <c r="N24" s="1">
        <v>1.0489999999999999</v>
      </c>
      <c r="O24" s="1">
        <v>1.274</v>
      </c>
      <c r="P24" s="1">
        <v>1.292</v>
      </c>
      <c r="Q24" s="1">
        <v>0.60299999999999998</v>
      </c>
      <c r="R24" s="1">
        <f t="shared" si="0"/>
        <v>0.21953815158190609</v>
      </c>
      <c r="S24" s="1">
        <v>300.2</v>
      </c>
      <c r="T24" s="1">
        <v>6.9</v>
      </c>
      <c r="U24" s="1">
        <v>209.1</v>
      </c>
      <c r="V24" s="1">
        <v>8.8000000000000007</v>
      </c>
      <c r="W24" s="1">
        <v>68</v>
      </c>
      <c r="X24" s="1">
        <v>78.8</v>
      </c>
    </row>
    <row r="25" spans="1:24" ht="16">
      <c r="A25" s="3">
        <v>6</v>
      </c>
      <c r="B25" s="1" t="s">
        <v>23</v>
      </c>
      <c r="C25" s="1" t="s">
        <v>49</v>
      </c>
      <c r="D25" s="1" t="s">
        <v>25</v>
      </c>
      <c r="E25" s="1" t="s">
        <v>26</v>
      </c>
      <c r="F25" s="1">
        <v>247993</v>
      </c>
      <c r="G25" s="1">
        <v>2572272</v>
      </c>
      <c r="H25" s="4">
        <v>28.212931074559343</v>
      </c>
      <c r="I25" s="2">
        <v>3.0569999999999998E-3</v>
      </c>
      <c r="J25" s="2">
        <v>2.8570000000000002E-3</v>
      </c>
      <c r="K25" s="2">
        <v>2.3809999999999999E-3</v>
      </c>
      <c r="L25" s="2">
        <v>2.7650000000000001E-3</v>
      </c>
      <c r="M25" s="1">
        <v>1.2</v>
      </c>
      <c r="N25" s="1">
        <v>1.07</v>
      </c>
      <c r="O25" s="1">
        <v>1.284</v>
      </c>
      <c r="P25" s="1">
        <v>1.2949999999999999</v>
      </c>
      <c r="Q25" s="1">
        <v>0.45700000000000002</v>
      </c>
      <c r="R25" s="1">
        <f t="shared" si="0"/>
        <v>0.21189620100417089</v>
      </c>
      <c r="S25" s="1">
        <v>294.2</v>
      </c>
      <c r="T25" s="1">
        <v>7.1</v>
      </c>
      <c r="U25" s="1">
        <v>202.4</v>
      </c>
      <c r="V25" s="1">
        <v>14.2</v>
      </c>
      <c r="W25" s="1">
        <v>50</v>
      </c>
      <c r="X25" s="1">
        <v>74.099999999999994</v>
      </c>
    </row>
    <row r="26" spans="1:24" ht="16">
      <c r="A26" s="3">
        <v>7</v>
      </c>
      <c r="B26" s="1" t="s">
        <v>23</v>
      </c>
      <c r="C26" s="1" t="s">
        <v>50</v>
      </c>
      <c r="D26" s="1" t="s">
        <v>25</v>
      </c>
      <c r="E26" s="1" t="s">
        <v>26</v>
      </c>
      <c r="F26" s="1">
        <v>248441</v>
      </c>
      <c r="G26" s="1">
        <v>2571056</v>
      </c>
      <c r="H26" s="4">
        <v>27.216951693663866</v>
      </c>
      <c r="I26" s="2">
        <v>9.1739999999999999E-3</v>
      </c>
      <c r="J26" s="2">
        <v>7.4060000000000003E-3</v>
      </c>
      <c r="K26" s="2">
        <v>3.3119999999999998E-3</v>
      </c>
      <c r="L26" s="2">
        <v>6.6309999999999997E-3</v>
      </c>
      <c r="M26" s="1">
        <v>1.2390000000000001</v>
      </c>
      <c r="N26" s="1">
        <v>2.2360000000000002</v>
      </c>
      <c r="O26" s="1">
        <v>2.77</v>
      </c>
      <c r="P26" s="1">
        <v>2.9279999999999999</v>
      </c>
      <c r="Q26" s="1">
        <v>0.57999999999999996</v>
      </c>
      <c r="R26" s="1">
        <f t="shared" si="0"/>
        <v>1.2588951505188988</v>
      </c>
      <c r="S26" s="1">
        <v>131.6</v>
      </c>
      <c r="T26" s="1">
        <v>44.6</v>
      </c>
      <c r="U26" s="1">
        <v>33.200000000000003</v>
      </c>
      <c r="V26" s="1">
        <v>8.4</v>
      </c>
      <c r="W26" s="1">
        <v>294.89999999999998</v>
      </c>
      <c r="X26" s="1">
        <v>44.2</v>
      </c>
    </row>
    <row r="27" spans="1:24" ht="16">
      <c r="A27" s="3">
        <v>7</v>
      </c>
      <c r="B27" s="1" t="s">
        <v>23</v>
      </c>
      <c r="C27" s="1" t="s">
        <v>51</v>
      </c>
      <c r="D27" s="1" t="s">
        <v>25</v>
      </c>
      <c r="E27" s="1" t="s">
        <v>26</v>
      </c>
      <c r="F27" s="1">
        <v>248441</v>
      </c>
      <c r="G27" s="1">
        <v>2571056</v>
      </c>
      <c r="H27" s="4">
        <v>27.216951693663866</v>
      </c>
      <c r="I27" s="2">
        <v>8.0610000000000005E-3</v>
      </c>
      <c r="J27" s="2">
        <v>6.4029999999999998E-3</v>
      </c>
      <c r="K27" s="2">
        <v>2.8900000000000002E-3</v>
      </c>
      <c r="L27" s="2">
        <v>5.7850000000000002E-3</v>
      </c>
      <c r="M27" s="1">
        <v>1.2589999999999999</v>
      </c>
      <c r="N27" s="1">
        <v>2.2160000000000002</v>
      </c>
      <c r="O27" s="1">
        <v>2.79</v>
      </c>
      <c r="P27" s="1">
        <v>2.9350000000000001</v>
      </c>
      <c r="Q27" s="1">
        <v>0.55100000000000005</v>
      </c>
      <c r="R27" s="1">
        <f t="shared" si="0"/>
        <v>1.2432767189970222</v>
      </c>
      <c r="S27" s="1">
        <v>129.6</v>
      </c>
      <c r="T27" s="1">
        <v>44.6</v>
      </c>
      <c r="U27" s="1">
        <v>28.1</v>
      </c>
      <c r="V27" s="1">
        <v>11.4</v>
      </c>
      <c r="W27" s="1">
        <v>287.2</v>
      </c>
      <c r="X27" s="1">
        <v>43.1</v>
      </c>
    </row>
    <row r="28" spans="1:24" ht="16">
      <c r="A28" s="3">
        <v>7</v>
      </c>
      <c r="B28" s="1" t="s">
        <v>23</v>
      </c>
      <c r="C28" s="1" t="s">
        <v>52</v>
      </c>
      <c r="D28" s="1" t="s">
        <v>25</v>
      </c>
      <c r="E28" s="1" t="s">
        <v>26</v>
      </c>
      <c r="F28" s="1">
        <v>248441</v>
      </c>
      <c r="G28" s="1">
        <v>2571056</v>
      </c>
      <c r="H28" s="4">
        <v>27.216951693663866</v>
      </c>
      <c r="I28" s="2">
        <v>6.8329999999999997E-3</v>
      </c>
      <c r="J28" s="2">
        <v>5.5009999999999998E-3</v>
      </c>
      <c r="K28" s="2">
        <v>2.6329999999999999E-3</v>
      </c>
      <c r="L28" s="2">
        <v>4.9890000000000004E-3</v>
      </c>
      <c r="M28" s="1">
        <v>1.242</v>
      </c>
      <c r="N28" s="1">
        <v>2.089</v>
      </c>
      <c r="O28" s="1">
        <v>2.5950000000000002</v>
      </c>
      <c r="P28" s="1">
        <v>2.718</v>
      </c>
      <c r="Q28" s="1">
        <v>0.54500000000000004</v>
      </c>
      <c r="R28" s="1">
        <f t="shared" si="0"/>
        <v>1.1155648793324393</v>
      </c>
      <c r="S28" s="1">
        <v>129.6</v>
      </c>
      <c r="T28" s="1">
        <v>44.5</v>
      </c>
      <c r="U28" s="1">
        <v>30.1</v>
      </c>
      <c r="V28" s="1">
        <v>9.5</v>
      </c>
      <c r="W28" s="1">
        <v>290.8</v>
      </c>
      <c r="X28" s="1">
        <v>44</v>
      </c>
    </row>
    <row r="29" spans="1:24" ht="16">
      <c r="A29" s="3">
        <v>8</v>
      </c>
      <c r="B29" s="1" t="s">
        <v>23</v>
      </c>
      <c r="C29" s="1" t="s">
        <v>53</v>
      </c>
      <c r="D29" s="1" t="s">
        <v>25</v>
      </c>
      <c r="E29" s="1" t="s">
        <v>26</v>
      </c>
      <c r="F29" s="1">
        <v>249722</v>
      </c>
      <c r="G29" s="1">
        <v>2571361</v>
      </c>
      <c r="H29" s="4">
        <v>26.260073151416041</v>
      </c>
      <c r="I29" s="2">
        <v>1.193E-3</v>
      </c>
      <c r="J29" s="2">
        <v>1.178E-3</v>
      </c>
      <c r="K29" s="2">
        <v>1.003E-3</v>
      </c>
      <c r="L29" s="2">
        <v>1.1249999999999999E-3</v>
      </c>
      <c r="M29" s="1">
        <v>1.0129999999999999</v>
      </c>
      <c r="N29" s="1">
        <v>1.175</v>
      </c>
      <c r="O29" s="1">
        <v>1.19</v>
      </c>
      <c r="P29" s="1">
        <v>1.214</v>
      </c>
      <c r="Q29" s="1">
        <v>0.85099999999999998</v>
      </c>
      <c r="R29" s="1">
        <f t="shared" si="0"/>
        <v>0.17548219282878824</v>
      </c>
      <c r="S29" s="1">
        <v>114.4</v>
      </c>
      <c r="T29" s="1">
        <v>8.5</v>
      </c>
      <c r="U29" s="1">
        <v>205.1</v>
      </c>
      <c r="V29" s="1">
        <v>4.8</v>
      </c>
      <c r="W29" s="1">
        <v>324.60000000000002</v>
      </c>
      <c r="X29" s="1">
        <v>80.2</v>
      </c>
    </row>
    <row r="30" spans="1:24" ht="16">
      <c r="A30" s="3">
        <v>8</v>
      </c>
      <c r="B30" s="1" t="s">
        <v>23</v>
      </c>
      <c r="C30" s="1" t="s">
        <v>54</v>
      </c>
      <c r="D30" s="1" t="s">
        <v>25</v>
      </c>
      <c r="E30" s="1" t="s">
        <v>26</v>
      </c>
      <c r="F30" s="1">
        <v>249722</v>
      </c>
      <c r="G30" s="1">
        <v>2571361</v>
      </c>
      <c r="H30" s="4">
        <v>26.260073151416041</v>
      </c>
      <c r="I30" s="2">
        <v>1.2769999999999999E-3</v>
      </c>
      <c r="J30" s="2">
        <v>1.2589999999999999E-3</v>
      </c>
      <c r="K30" s="2">
        <v>1.0690000000000001E-3</v>
      </c>
      <c r="L30" s="2">
        <v>1.2019999999999999E-3</v>
      </c>
      <c r="M30" s="1">
        <v>1.014</v>
      </c>
      <c r="N30" s="1">
        <v>1.177</v>
      </c>
      <c r="O30" s="1">
        <v>1.194</v>
      </c>
      <c r="P30" s="1">
        <v>1.218</v>
      </c>
      <c r="Q30" s="1">
        <v>0.84</v>
      </c>
      <c r="R30" s="1">
        <f t="shared" si="0"/>
        <v>0.17755280904564708</v>
      </c>
      <c r="S30" s="1">
        <v>111.3</v>
      </c>
      <c r="T30" s="1">
        <v>7.4</v>
      </c>
      <c r="U30" s="1">
        <v>202.3</v>
      </c>
      <c r="V30" s="1">
        <v>7</v>
      </c>
      <c r="W30" s="1">
        <v>335.3</v>
      </c>
      <c r="X30" s="1">
        <v>79.8</v>
      </c>
    </row>
    <row r="31" spans="1:24" ht="16">
      <c r="A31" s="3">
        <v>8</v>
      </c>
      <c r="B31" s="1" t="s">
        <v>23</v>
      </c>
      <c r="C31" s="1" t="s">
        <v>55</v>
      </c>
      <c r="D31" s="1" t="s">
        <v>25</v>
      </c>
      <c r="E31" s="1" t="s">
        <v>26</v>
      </c>
      <c r="F31" s="1">
        <v>249722</v>
      </c>
      <c r="G31" s="1">
        <v>2571361</v>
      </c>
      <c r="H31" s="4">
        <v>26.260073151416041</v>
      </c>
      <c r="I31" s="2">
        <v>1.3090000000000001E-3</v>
      </c>
      <c r="J31" s="2">
        <v>1.2930000000000001E-3</v>
      </c>
      <c r="K31" s="2">
        <v>1.083E-3</v>
      </c>
      <c r="L31" s="2">
        <v>1.2279999999999999E-3</v>
      </c>
      <c r="M31" s="1">
        <v>1.0129999999999999</v>
      </c>
      <c r="N31" s="1">
        <v>1.1930000000000001</v>
      </c>
      <c r="O31" s="1">
        <v>1.208</v>
      </c>
      <c r="P31" s="1">
        <v>1.236</v>
      </c>
      <c r="Q31" s="1">
        <v>0.86599999999999999</v>
      </c>
      <c r="R31" s="1">
        <f t="shared" si="0"/>
        <v>0.19343732835210484</v>
      </c>
      <c r="S31" s="1">
        <v>129.1</v>
      </c>
      <c r="T31" s="1">
        <v>5.3</v>
      </c>
      <c r="U31" s="1">
        <v>219.6</v>
      </c>
      <c r="V31" s="1">
        <v>6</v>
      </c>
      <c r="W31" s="1">
        <v>357.7</v>
      </c>
      <c r="X31" s="1">
        <v>82</v>
      </c>
    </row>
    <row r="32" spans="1:24" ht="16">
      <c r="A32" s="3">
        <v>8</v>
      </c>
      <c r="B32" s="1" t="s">
        <v>23</v>
      </c>
      <c r="C32" s="1" t="s">
        <v>56</v>
      </c>
      <c r="D32" s="1" t="s">
        <v>25</v>
      </c>
      <c r="E32" s="1" t="s">
        <v>26</v>
      </c>
      <c r="F32" s="1">
        <v>249722</v>
      </c>
      <c r="G32" s="1">
        <v>2571361</v>
      </c>
      <c r="H32" s="4">
        <v>26.260073151416041</v>
      </c>
      <c r="I32" s="2">
        <v>1.276E-3</v>
      </c>
      <c r="J32" s="2">
        <v>1.2589999999999999E-3</v>
      </c>
      <c r="K32" s="2">
        <v>1.065E-3</v>
      </c>
      <c r="L32" s="2">
        <v>1.1999999999999999E-3</v>
      </c>
      <c r="M32" s="1">
        <v>1.0129999999999999</v>
      </c>
      <c r="N32" s="1">
        <v>1.1830000000000001</v>
      </c>
      <c r="O32" s="1">
        <v>1.1990000000000001</v>
      </c>
      <c r="P32" s="1">
        <v>1.224</v>
      </c>
      <c r="Q32" s="1">
        <v>0.85199999999999998</v>
      </c>
      <c r="R32" s="1">
        <f t="shared" si="0"/>
        <v>0.18346116755324549</v>
      </c>
      <c r="S32" s="1">
        <v>110.9</v>
      </c>
      <c r="T32" s="1">
        <v>4.7</v>
      </c>
      <c r="U32" s="1">
        <v>201.5</v>
      </c>
      <c r="V32" s="1">
        <v>8.1</v>
      </c>
      <c r="W32" s="1">
        <v>350.9</v>
      </c>
      <c r="X32" s="1">
        <v>80.599999999999994</v>
      </c>
    </row>
    <row r="33" spans="1:24" ht="16">
      <c r="A33" s="3">
        <v>8</v>
      </c>
      <c r="B33" s="1" t="s">
        <v>23</v>
      </c>
      <c r="C33" s="1" t="s">
        <v>57</v>
      </c>
      <c r="D33" s="1" t="s">
        <v>25</v>
      </c>
      <c r="E33" s="1" t="s">
        <v>26</v>
      </c>
      <c r="F33" s="1">
        <v>249722</v>
      </c>
      <c r="G33" s="1">
        <v>2571361</v>
      </c>
      <c r="H33" s="4">
        <v>26.260073151416041</v>
      </c>
      <c r="I33" s="2">
        <v>1.1640000000000001E-3</v>
      </c>
      <c r="J33" s="2">
        <v>1.1460000000000001E-3</v>
      </c>
      <c r="K33" s="2">
        <v>9.875000000000001E-4</v>
      </c>
      <c r="L33" s="2">
        <v>1.0989999999999999E-3</v>
      </c>
      <c r="M33" s="1">
        <v>1.0149999999999999</v>
      </c>
      <c r="N33" s="1">
        <v>1.161</v>
      </c>
      <c r="O33" s="1">
        <v>1.1779999999999999</v>
      </c>
      <c r="P33" s="1">
        <v>1.1990000000000001</v>
      </c>
      <c r="Q33" s="1">
        <v>0.81699999999999995</v>
      </c>
      <c r="R33" s="1">
        <f t="shared" si="0"/>
        <v>0.16169724796668619</v>
      </c>
      <c r="S33" s="1">
        <v>119.9</v>
      </c>
      <c r="T33" s="1">
        <v>6</v>
      </c>
      <c r="U33" s="1">
        <v>210.7</v>
      </c>
      <c r="V33" s="1">
        <v>7.3</v>
      </c>
      <c r="W33" s="1">
        <v>351.2</v>
      </c>
      <c r="X33" s="1">
        <v>80.5</v>
      </c>
    </row>
    <row r="34" spans="1:24" ht="16">
      <c r="A34" s="3">
        <v>9</v>
      </c>
      <c r="B34" s="1" t="s">
        <v>23</v>
      </c>
      <c r="C34" s="1" t="s">
        <v>58</v>
      </c>
      <c r="D34" s="1" t="s">
        <v>25</v>
      </c>
      <c r="E34" s="1" t="s">
        <v>26</v>
      </c>
      <c r="F34" s="1">
        <v>250783</v>
      </c>
      <c r="G34" s="1">
        <v>2569849</v>
      </c>
      <c r="H34" s="4">
        <v>24.585220198000883</v>
      </c>
      <c r="I34" s="2">
        <v>1.224E-3</v>
      </c>
      <c r="J34" s="2">
        <v>1.196E-3</v>
      </c>
      <c r="K34" s="2">
        <v>1.0189999999999999E-3</v>
      </c>
      <c r="L34" s="2">
        <v>1.1460000000000001E-3</v>
      </c>
      <c r="M34" s="1">
        <v>1.0229999999999999</v>
      </c>
      <c r="N34" s="1">
        <v>1.1739999999999999</v>
      </c>
      <c r="O34" s="1">
        <v>1.2010000000000001</v>
      </c>
      <c r="P34" s="1">
        <v>1.2210000000000001</v>
      </c>
      <c r="Q34" s="1">
        <v>0.753</v>
      </c>
      <c r="R34" s="1">
        <f t="shared" si="0"/>
        <v>0.17551353224181881</v>
      </c>
      <c r="S34" s="1">
        <v>224.3</v>
      </c>
      <c r="T34" s="1">
        <v>0.9</v>
      </c>
      <c r="U34" s="1">
        <v>134.1</v>
      </c>
      <c r="V34" s="1">
        <v>7.8</v>
      </c>
      <c r="W34" s="1">
        <v>321</v>
      </c>
      <c r="X34" s="1">
        <v>82.1</v>
      </c>
    </row>
    <row r="35" spans="1:24" ht="16">
      <c r="A35" s="3">
        <v>9</v>
      </c>
      <c r="B35" s="1" t="s">
        <v>23</v>
      </c>
      <c r="C35" s="1" t="s">
        <v>59</v>
      </c>
      <c r="D35" s="1" t="s">
        <v>25</v>
      </c>
      <c r="E35" s="1" t="s">
        <v>26</v>
      </c>
      <c r="F35" s="1">
        <v>250783</v>
      </c>
      <c r="G35" s="1">
        <v>2569849</v>
      </c>
      <c r="H35" s="4">
        <v>24.585220198000883</v>
      </c>
      <c r="I35" s="2">
        <v>1.4220000000000001E-3</v>
      </c>
      <c r="J35" s="2">
        <v>1.3940000000000001E-3</v>
      </c>
      <c r="K35" s="2">
        <v>1.201E-3</v>
      </c>
      <c r="L35" s="2">
        <v>1.3389999999999999E-3</v>
      </c>
      <c r="M35" s="1">
        <v>1.02</v>
      </c>
      <c r="N35" s="1">
        <v>1.161</v>
      </c>
      <c r="O35" s="1">
        <v>1.1839999999999999</v>
      </c>
      <c r="P35" s="1">
        <v>1.202</v>
      </c>
      <c r="Q35" s="1">
        <v>0.76800000000000002</v>
      </c>
      <c r="R35" s="1">
        <f t="shared" si="0"/>
        <v>0.16223748025656715</v>
      </c>
      <c r="S35" s="1">
        <v>225</v>
      </c>
      <c r="T35" s="1">
        <v>1.5</v>
      </c>
      <c r="U35" s="1">
        <v>134.80000000000001</v>
      </c>
      <c r="V35" s="1">
        <v>8.3000000000000007</v>
      </c>
      <c r="W35" s="1">
        <v>325.3</v>
      </c>
      <c r="X35" s="1">
        <v>81.5</v>
      </c>
    </row>
    <row r="36" spans="1:24" ht="16">
      <c r="A36" s="3">
        <v>9</v>
      </c>
      <c r="B36" s="1" t="s">
        <v>23</v>
      </c>
      <c r="C36" s="1" t="s">
        <v>60</v>
      </c>
      <c r="D36" s="1" t="s">
        <v>25</v>
      </c>
      <c r="E36" s="1" t="s">
        <v>26</v>
      </c>
      <c r="F36" s="1">
        <v>250783</v>
      </c>
      <c r="G36" s="1">
        <v>2569849</v>
      </c>
      <c r="H36" s="4">
        <v>24.585220198000883</v>
      </c>
      <c r="I36" s="2">
        <v>1.2899999999999999E-3</v>
      </c>
      <c r="J36" s="2">
        <v>1.271E-3</v>
      </c>
      <c r="K36" s="2">
        <v>1.0889999999999999E-3</v>
      </c>
      <c r="L36" s="2">
        <v>1.217E-3</v>
      </c>
      <c r="M36" s="1">
        <v>1.016</v>
      </c>
      <c r="N36" s="1">
        <v>1.167</v>
      </c>
      <c r="O36" s="1">
        <v>1.1850000000000001</v>
      </c>
      <c r="P36" s="1">
        <v>1.206</v>
      </c>
      <c r="Q36" s="1">
        <v>0.81699999999999995</v>
      </c>
      <c r="R36" s="1">
        <f t="shared" si="0"/>
        <v>0.16776471619503314</v>
      </c>
      <c r="S36" s="1">
        <v>226.6</v>
      </c>
      <c r="T36" s="1">
        <v>6.3</v>
      </c>
      <c r="U36" s="1">
        <v>135.19999999999999</v>
      </c>
      <c r="V36" s="1">
        <v>12</v>
      </c>
      <c r="W36" s="1">
        <v>343.7</v>
      </c>
      <c r="X36" s="1">
        <v>76.400000000000006</v>
      </c>
    </row>
    <row r="37" spans="1:24" ht="16">
      <c r="A37" s="3">
        <v>9</v>
      </c>
      <c r="B37" s="1" t="s">
        <v>23</v>
      </c>
      <c r="C37" s="1" t="s">
        <v>61</v>
      </c>
      <c r="D37" s="1" t="s">
        <v>25</v>
      </c>
      <c r="E37" s="1" t="s">
        <v>26</v>
      </c>
      <c r="F37" s="1">
        <v>250783</v>
      </c>
      <c r="G37" s="1">
        <v>2569849</v>
      </c>
      <c r="H37" s="4">
        <v>24.585220198000883</v>
      </c>
      <c r="I37" s="2">
        <v>1.402E-3</v>
      </c>
      <c r="J37" s="2">
        <v>1.3799999999999999E-3</v>
      </c>
      <c r="K37" s="2">
        <v>1.1969999999999999E-3</v>
      </c>
      <c r="L37" s="2">
        <v>1.3259999999999999E-3</v>
      </c>
      <c r="M37" s="1">
        <v>1.016</v>
      </c>
      <c r="N37" s="1">
        <v>1.153</v>
      </c>
      <c r="O37" s="1">
        <v>1.171</v>
      </c>
      <c r="P37" s="1">
        <v>1.19</v>
      </c>
      <c r="Q37" s="1">
        <v>0.80400000000000005</v>
      </c>
      <c r="R37" s="1">
        <f t="shared" si="0"/>
        <v>0.15383432646844464</v>
      </c>
      <c r="S37" s="1">
        <v>221.5</v>
      </c>
      <c r="T37" s="1">
        <v>6.8</v>
      </c>
      <c r="U37" s="1">
        <v>130.30000000000001</v>
      </c>
      <c r="V37" s="1">
        <v>10.4</v>
      </c>
      <c r="W37" s="1">
        <v>344.2</v>
      </c>
      <c r="X37" s="1">
        <v>77.5</v>
      </c>
    </row>
    <row r="38" spans="1:24" ht="16">
      <c r="A38" s="3">
        <v>10</v>
      </c>
      <c r="B38" s="1" t="s">
        <v>23</v>
      </c>
      <c r="C38" s="1" t="s">
        <v>62</v>
      </c>
      <c r="D38" s="1" t="s">
        <v>25</v>
      </c>
      <c r="E38" s="1" t="s">
        <v>26</v>
      </c>
      <c r="F38" s="1">
        <v>250796</v>
      </c>
      <c r="G38" s="1">
        <v>2569630</v>
      </c>
      <c r="H38" s="4">
        <v>24.464461867751631</v>
      </c>
      <c r="I38" s="2">
        <v>5.6849999999999999E-3</v>
      </c>
      <c r="J38" s="2">
        <v>5.006E-3</v>
      </c>
      <c r="K38" s="2">
        <v>4.6420000000000003E-3</v>
      </c>
      <c r="L38" s="2">
        <v>5.1110000000000001E-3</v>
      </c>
      <c r="M38" s="1">
        <v>1.1359999999999999</v>
      </c>
      <c r="N38" s="1">
        <v>1.0780000000000001</v>
      </c>
      <c r="O38" s="1">
        <v>1.2250000000000001</v>
      </c>
      <c r="P38" s="1">
        <v>1.228</v>
      </c>
      <c r="Q38" s="1">
        <v>-0.25600000000000001</v>
      </c>
      <c r="R38" s="1">
        <f t="shared" si="0"/>
        <v>0.15678010077812804</v>
      </c>
      <c r="S38" s="1">
        <v>68</v>
      </c>
      <c r="T38" s="1">
        <v>9.1</v>
      </c>
      <c r="U38" s="1">
        <v>160.1</v>
      </c>
      <c r="V38" s="1">
        <v>13.2</v>
      </c>
      <c r="W38" s="1">
        <v>304.2</v>
      </c>
      <c r="X38" s="1">
        <v>73.900000000000006</v>
      </c>
    </row>
    <row r="39" spans="1:24" ht="16">
      <c r="A39" s="3">
        <v>10</v>
      </c>
      <c r="B39" s="1" t="s">
        <v>23</v>
      </c>
      <c r="C39" s="1" t="s">
        <v>63</v>
      </c>
      <c r="D39" s="1" t="s">
        <v>25</v>
      </c>
      <c r="E39" s="1" t="s">
        <v>26</v>
      </c>
      <c r="F39" s="1">
        <v>250796</v>
      </c>
      <c r="G39" s="1">
        <v>2569630</v>
      </c>
      <c r="H39" s="4">
        <v>24.464461867751631</v>
      </c>
      <c r="I39" s="2">
        <v>5.5290000000000001E-3</v>
      </c>
      <c r="J39" s="2">
        <v>4.8760000000000001E-3</v>
      </c>
      <c r="K39" s="2">
        <v>4.548E-3</v>
      </c>
      <c r="L39" s="2">
        <v>4.9839999999999997E-3</v>
      </c>
      <c r="M39" s="1">
        <v>1.1339999999999999</v>
      </c>
      <c r="N39" s="1">
        <v>1.0720000000000001</v>
      </c>
      <c r="O39" s="1">
        <v>1.216</v>
      </c>
      <c r="P39" s="1">
        <v>1.2190000000000001</v>
      </c>
      <c r="Q39" s="1">
        <v>-0.28699999999999998</v>
      </c>
      <c r="R39" s="1">
        <f t="shared" si="0"/>
        <v>0.15211837495845129</v>
      </c>
      <c r="S39" s="1">
        <v>68.900000000000006</v>
      </c>
      <c r="T39" s="1">
        <v>10.199999999999999</v>
      </c>
      <c r="U39" s="1">
        <v>162.4</v>
      </c>
      <c r="V39" s="1">
        <v>18.7</v>
      </c>
      <c r="W39" s="1">
        <v>311.60000000000002</v>
      </c>
      <c r="X39" s="1">
        <v>68.5</v>
      </c>
    </row>
    <row r="40" spans="1:24" ht="16">
      <c r="A40" s="3">
        <v>10</v>
      </c>
      <c r="B40" s="1" t="s">
        <v>23</v>
      </c>
      <c r="C40" s="1" t="s">
        <v>64</v>
      </c>
      <c r="D40" s="1" t="s">
        <v>25</v>
      </c>
      <c r="E40" s="1" t="s">
        <v>26</v>
      </c>
      <c r="F40" s="1">
        <v>250796</v>
      </c>
      <c r="G40" s="1">
        <v>2569630</v>
      </c>
      <c r="H40" s="4">
        <v>24.464461867751631</v>
      </c>
      <c r="I40" s="2">
        <v>5.9309999999999996E-3</v>
      </c>
      <c r="J40" s="2">
        <v>5.1869999999999998E-3</v>
      </c>
      <c r="K40" s="2">
        <v>4.8809999999999999E-3</v>
      </c>
      <c r="L40" s="2">
        <v>5.3330000000000001E-3</v>
      </c>
      <c r="M40" s="1">
        <v>1.143</v>
      </c>
      <c r="N40" s="1">
        <v>1.0629999999999999</v>
      </c>
      <c r="O40" s="1">
        <v>1.2150000000000001</v>
      </c>
      <c r="P40" s="1">
        <v>1.22</v>
      </c>
      <c r="Q40" s="1">
        <v>-0.377</v>
      </c>
      <c r="R40" s="1">
        <f t="shared" si="0"/>
        <v>0.15626259949200896</v>
      </c>
      <c r="S40" s="1">
        <v>70.099999999999994</v>
      </c>
      <c r="T40" s="1">
        <v>7.5</v>
      </c>
      <c r="U40" s="1">
        <v>162.5</v>
      </c>
      <c r="V40" s="1">
        <v>17.7</v>
      </c>
      <c r="W40" s="1">
        <v>318.10000000000002</v>
      </c>
      <c r="X40" s="1">
        <v>70.7</v>
      </c>
    </row>
    <row r="41" spans="1:24" ht="16">
      <c r="A41" s="3">
        <v>10</v>
      </c>
      <c r="B41" s="1" t="s">
        <v>23</v>
      </c>
      <c r="C41" s="1" t="s">
        <v>65</v>
      </c>
      <c r="D41" s="1" t="s">
        <v>25</v>
      </c>
      <c r="E41" s="1" t="s">
        <v>26</v>
      </c>
      <c r="F41" s="1">
        <v>250796</v>
      </c>
      <c r="G41" s="1">
        <v>2569630</v>
      </c>
      <c r="H41" s="4">
        <v>24.464461867751631</v>
      </c>
      <c r="I41" s="2">
        <v>5.973E-3</v>
      </c>
      <c r="J41" s="2">
        <v>5.2300000000000003E-3</v>
      </c>
      <c r="K41" s="2">
        <v>4.8789999999999997E-3</v>
      </c>
      <c r="L41" s="2">
        <v>5.3610000000000003E-3</v>
      </c>
      <c r="M41" s="1">
        <v>1.1419999999999999</v>
      </c>
      <c r="N41" s="1">
        <v>1.0720000000000001</v>
      </c>
      <c r="O41" s="1">
        <v>1.224</v>
      </c>
      <c r="P41" s="1">
        <v>1.228</v>
      </c>
      <c r="Q41" s="1">
        <v>-0.313</v>
      </c>
      <c r="R41" s="1">
        <f t="shared" si="0"/>
        <v>0.15921055241409088</v>
      </c>
      <c r="S41" s="1">
        <v>70.099999999999994</v>
      </c>
      <c r="T41" s="1">
        <v>7.4</v>
      </c>
      <c r="U41" s="1">
        <v>162.30000000000001</v>
      </c>
      <c r="V41" s="1">
        <v>16.399999999999999</v>
      </c>
      <c r="W41" s="1">
        <v>316.7</v>
      </c>
      <c r="X41" s="1">
        <v>71.900000000000006</v>
      </c>
    </row>
    <row r="42" spans="1:24" ht="16">
      <c r="A42" s="3">
        <v>11</v>
      </c>
      <c r="B42" s="1" t="s">
        <v>23</v>
      </c>
      <c r="C42" s="1" t="s">
        <v>66</v>
      </c>
      <c r="D42" s="1" t="s">
        <v>67</v>
      </c>
      <c r="E42" s="1" t="s">
        <v>68</v>
      </c>
      <c r="F42" s="1">
        <v>250940</v>
      </c>
      <c r="G42" s="1">
        <v>2569136</v>
      </c>
      <c r="H42" s="4">
        <v>24.092754209606607</v>
      </c>
      <c r="I42" s="2">
        <v>3.4880000000000002E-3</v>
      </c>
      <c r="J42" s="2">
        <v>3.3509999999999998E-3</v>
      </c>
      <c r="K42" s="2">
        <v>3.0100000000000001E-3</v>
      </c>
      <c r="L42" s="2">
        <v>3.2829999999999999E-3</v>
      </c>
      <c r="M42" s="1">
        <v>1.0409999999999999</v>
      </c>
      <c r="N42" s="1">
        <v>1.113</v>
      </c>
      <c r="O42" s="1">
        <v>1.159</v>
      </c>
      <c r="P42" s="1">
        <v>1.165</v>
      </c>
      <c r="Q42" s="1">
        <v>0.45500000000000002</v>
      </c>
      <c r="R42" s="1">
        <f t="shared" si="0"/>
        <v>0.12020815280171304</v>
      </c>
      <c r="S42" s="1">
        <v>82.5</v>
      </c>
      <c r="T42" s="1">
        <v>1.3</v>
      </c>
      <c r="U42" s="1">
        <v>172.8</v>
      </c>
      <c r="V42" s="1">
        <v>13.9</v>
      </c>
      <c r="W42" s="1">
        <v>347.2</v>
      </c>
      <c r="X42" s="1">
        <v>76.099999999999994</v>
      </c>
    </row>
    <row r="43" spans="1:24" ht="16">
      <c r="A43" s="3">
        <v>11</v>
      </c>
      <c r="B43" s="1" t="s">
        <v>23</v>
      </c>
      <c r="C43" s="1" t="s">
        <v>69</v>
      </c>
      <c r="D43" s="1" t="s">
        <v>67</v>
      </c>
      <c r="E43" s="1" t="s">
        <v>68</v>
      </c>
      <c r="F43" s="1">
        <v>250940</v>
      </c>
      <c r="G43" s="1">
        <v>2569136</v>
      </c>
      <c r="H43" s="4">
        <v>24.092754209606607</v>
      </c>
      <c r="I43" s="2">
        <v>3.5040000000000002E-3</v>
      </c>
      <c r="J43" s="2">
        <v>3.3600000000000001E-3</v>
      </c>
      <c r="K43" s="2">
        <v>3.029E-3</v>
      </c>
      <c r="L43" s="2">
        <v>3.2980000000000002E-3</v>
      </c>
      <c r="M43" s="1">
        <v>1.0429999999999999</v>
      </c>
      <c r="N43" s="1">
        <v>1.109</v>
      </c>
      <c r="O43" s="1">
        <v>1.157</v>
      </c>
      <c r="P43" s="1">
        <v>1.1619999999999999</v>
      </c>
      <c r="Q43" s="1">
        <v>0.42399999999999999</v>
      </c>
      <c r="R43" s="1">
        <f t="shared" si="0"/>
        <v>0.11717508267545618</v>
      </c>
      <c r="S43" s="1">
        <v>257.8</v>
      </c>
      <c r="T43" s="1">
        <v>3.5</v>
      </c>
      <c r="U43" s="1">
        <v>167.2</v>
      </c>
      <c r="V43" s="1">
        <v>9.9</v>
      </c>
      <c r="W43" s="1">
        <v>7.3</v>
      </c>
      <c r="X43" s="1">
        <v>79.5</v>
      </c>
    </row>
    <row r="44" spans="1:24" ht="16">
      <c r="A44" s="3">
        <v>11</v>
      </c>
      <c r="B44" s="1" t="s">
        <v>23</v>
      </c>
      <c r="C44" s="1" t="s">
        <v>70</v>
      </c>
      <c r="D44" s="1" t="s">
        <v>67</v>
      </c>
      <c r="E44" s="1" t="s">
        <v>68</v>
      </c>
      <c r="F44" s="1">
        <v>250940</v>
      </c>
      <c r="G44" s="1">
        <v>2569136</v>
      </c>
      <c r="H44" s="4">
        <v>24.092754209606607</v>
      </c>
      <c r="I44" s="2">
        <v>3.8049999999999998E-3</v>
      </c>
      <c r="J44" s="2">
        <v>3.6770000000000001E-3</v>
      </c>
      <c r="K44" s="2">
        <v>3.2759999999999998E-3</v>
      </c>
      <c r="L44" s="2">
        <v>3.5860000000000002E-3</v>
      </c>
      <c r="M44" s="1">
        <v>1.0349999999999999</v>
      </c>
      <c r="N44" s="1">
        <v>1.1220000000000001</v>
      </c>
      <c r="O44" s="1">
        <v>1.1619999999999999</v>
      </c>
      <c r="P44" s="1">
        <v>1.17</v>
      </c>
      <c r="Q44" s="1">
        <v>0.54</v>
      </c>
      <c r="R44" s="1">
        <f t="shared" si="0"/>
        <v>0.12692123541787648</v>
      </c>
      <c r="S44" s="1">
        <v>79.3</v>
      </c>
      <c r="T44" s="1">
        <v>1.9</v>
      </c>
      <c r="U44" s="1">
        <v>169.8</v>
      </c>
      <c r="V44" s="1">
        <v>15.3</v>
      </c>
      <c r="W44" s="1">
        <v>342.4</v>
      </c>
      <c r="X44" s="1">
        <v>74.599999999999994</v>
      </c>
    </row>
    <row r="45" spans="1:24" ht="16">
      <c r="A45" s="3">
        <v>11</v>
      </c>
      <c r="B45" s="1" t="s">
        <v>23</v>
      </c>
      <c r="C45" s="1" t="s">
        <v>71</v>
      </c>
      <c r="D45" s="1" t="s">
        <v>67</v>
      </c>
      <c r="E45" s="1" t="s">
        <v>68</v>
      </c>
      <c r="F45" s="1">
        <v>250940</v>
      </c>
      <c r="G45" s="1">
        <v>2569136</v>
      </c>
      <c r="H45" s="4">
        <v>24.092754209606607</v>
      </c>
      <c r="I45" s="2">
        <v>3.6700000000000001E-3</v>
      </c>
      <c r="J45" s="2">
        <v>3.5170000000000002E-3</v>
      </c>
      <c r="K45" s="2">
        <v>3.1970000000000002E-3</v>
      </c>
      <c r="L45" s="2">
        <v>3.4610000000000001E-3</v>
      </c>
      <c r="M45" s="1">
        <v>1.0429999999999999</v>
      </c>
      <c r="N45" s="1">
        <v>1.1000000000000001</v>
      </c>
      <c r="O45" s="1">
        <v>1.1479999999999999</v>
      </c>
      <c r="P45" s="1">
        <v>1.1519999999999999</v>
      </c>
      <c r="Q45" s="1">
        <v>0.38300000000000001</v>
      </c>
      <c r="R45" s="1">
        <f t="shared" si="0"/>
        <v>0.10885311203635847</v>
      </c>
      <c r="S45" s="1">
        <v>260.2</v>
      </c>
      <c r="T45" s="1">
        <v>3.2</v>
      </c>
      <c r="U45" s="1">
        <v>169.5</v>
      </c>
      <c r="V45" s="1">
        <v>12.9</v>
      </c>
      <c r="W45" s="1">
        <v>4.0999999999999996</v>
      </c>
      <c r="X45" s="1">
        <v>76.7</v>
      </c>
    </row>
    <row r="46" spans="1:24" ht="16">
      <c r="A46" s="3">
        <v>12</v>
      </c>
      <c r="B46" s="1" t="s">
        <v>23</v>
      </c>
      <c r="C46" s="1" t="s">
        <v>72</v>
      </c>
      <c r="D46" s="1" t="s">
        <v>25</v>
      </c>
      <c r="E46" s="1" t="s">
        <v>26</v>
      </c>
      <c r="F46" s="1">
        <v>251410</v>
      </c>
      <c r="G46" s="1">
        <v>2568872</v>
      </c>
      <c r="H46" s="4">
        <v>23.553722269827968</v>
      </c>
      <c r="I46" s="2">
        <v>1.565E-3</v>
      </c>
      <c r="J46" s="2">
        <v>1.5579999999999999E-3</v>
      </c>
      <c r="K46" s="2">
        <v>1.2049999999999999E-3</v>
      </c>
      <c r="L46" s="2">
        <v>1.4430000000000001E-3</v>
      </c>
      <c r="M46" s="1">
        <v>1.004</v>
      </c>
      <c r="N46" s="1">
        <v>1.2929999999999999</v>
      </c>
      <c r="O46" s="1">
        <v>1.2989999999999999</v>
      </c>
      <c r="P46" s="1">
        <v>1.349</v>
      </c>
      <c r="Q46" s="1">
        <v>0.96799999999999997</v>
      </c>
      <c r="R46" s="1">
        <f t="shared" si="0"/>
        <v>0.29302730248220893</v>
      </c>
      <c r="S46" s="1">
        <v>345.1</v>
      </c>
      <c r="T46" s="1">
        <v>46.8</v>
      </c>
      <c r="U46" s="1">
        <v>171.1</v>
      </c>
      <c r="V46" s="1">
        <v>43.1</v>
      </c>
      <c r="W46" s="1">
        <v>78.3</v>
      </c>
      <c r="X46" s="1">
        <v>3</v>
      </c>
    </row>
    <row r="47" spans="1:24" ht="16">
      <c r="A47" s="3">
        <v>12</v>
      </c>
      <c r="B47" s="1" t="s">
        <v>23</v>
      </c>
      <c r="C47" s="1" t="s">
        <v>73</v>
      </c>
      <c r="D47" s="1" t="s">
        <v>25</v>
      </c>
      <c r="E47" s="1" t="s">
        <v>26</v>
      </c>
      <c r="F47" s="1">
        <v>251410</v>
      </c>
      <c r="G47" s="1">
        <v>2568872</v>
      </c>
      <c r="H47" s="4">
        <v>23.553722269827968</v>
      </c>
      <c r="I47" s="2">
        <v>1.609E-3</v>
      </c>
      <c r="J47" s="2">
        <v>1.601E-3</v>
      </c>
      <c r="K47" s="2">
        <v>1.243E-3</v>
      </c>
      <c r="L47" s="2">
        <v>1.4840000000000001E-3</v>
      </c>
      <c r="M47" s="1">
        <v>1.0049999999999999</v>
      </c>
      <c r="N47" s="1">
        <v>1.288</v>
      </c>
      <c r="O47" s="1">
        <v>1.294</v>
      </c>
      <c r="P47" s="1">
        <v>1.343</v>
      </c>
      <c r="Q47" s="1">
        <v>0.96199999999999997</v>
      </c>
      <c r="R47" s="1">
        <f t="shared" si="0"/>
        <v>0.28804339950778252</v>
      </c>
      <c r="S47" s="1">
        <v>345</v>
      </c>
      <c r="T47" s="1">
        <v>55.1</v>
      </c>
      <c r="U47" s="1">
        <v>169.5</v>
      </c>
      <c r="V47" s="1">
        <v>34.799999999999997</v>
      </c>
      <c r="W47" s="1">
        <v>78</v>
      </c>
      <c r="X47" s="1">
        <v>2.1</v>
      </c>
    </row>
    <row r="48" spans="1:24" ht="16">
      <c r="A48" s="3">
        <v>12</v>
      </c>
      <c r="B48" s="1" t="s">
        <v>23</v>
      </c>
      <c r="C48" s="1" t="s">
        <v>74</v>
      </c>
      <c r="D48" s="1" t="s">
        <v>25</v>
      </c>
      <c r="E48" s="1" t="s">
        <v>26</v>
      </c>
      <c r="F48" s="1">
        <v>251410</v>
      </c>
      <c r="G48" s="1">
        <v>2568872</v>
      </c>
      <c r="H48" s="4">
        <v>23.553722269827968</v>
      </c>
      <c r="I48" s="2">
        <v>1.467E-3</v>
      </c>
      <c r="J48" s="2">
        <v>1.456E-3</v>
      </c>
      <c r="K48" s="2">
        <v>1.121E-3</v>
      </c>
      <c r="L48" s="2">
        <v>1.348E-3</v>
      </c>
      <c r="M48" s="1">
        <v>1.008</v>
      </c>
      <c r="N48" s="1">
        <v>1.2989999999999999</v>
      </c>
      <c r="O48" s="1">
        <v>1.3089999999999999</v>
      </c>
      <c r="P48" s="1">
        <v>1.359</v>
      </c>
      <c r="Q48" s="1">
        <v>0.94399999999999995</v>
      </c>
      <c r="R48" s="1">
        <f t="shared" si="0"/>
        <v>0.29910700426436015</v>
      </c>
      <c r="S48" s="1">
        <v>344</v>
      </c>
      <c r="T48" s="1">
        <v>55.6</v>
      </c>
      <c r="U48" s="1">
        <v>171.1</v>
      </c>
      <c r="V48" s="1">
        <v>34.200000000000003</v>
      </c>
      <c r="W48" s="1">
        <v>78.8</v>
      </c>
      <c r="X48" s="1">
        <v>3.3</v>
      </c>
    </row>
    <row r="49" spans="1:24" ht="16">
      <c r="A49" s="3">
        <v>12</v>
      </c>
      <c r="B49" s="1" t="s">
        <v>23</v>
      </c>
      <c r="C49" s="1" t="s">
        <v>75</v>
      </c>
      <c r="D49" s="1" t="s">
        <v>25</v>
      </c>
      <c r="E49" s="1" t="s">
        <v>26</v>
      </c>
      <c r="F49" s="1">
        <v>251410</v>
      </c>
      <c r="G49" s="1">
        <v>2568872</v>
      </c>
      <c r="H49" s="4">
        <v>23.553722269827968</v>
      </c>
      <c r="I49" s="2">
        <v>1.5280000000000001E-3</v>
      </c>
      <c r="J49" s="2">
        <v>1.5200000000000001E-3</v>
      </c>
      <c r="K49" s="2">
        <v>1.1720000000000001E-3</v>
      </c>
      <c r="L49" s="2">
        <v>1.407E-3</v>
      </c>
      <c r="M49" s="1">
        <v>1.0049999999999999</v>
      </c>
      <c r="N49" s="1">
        <v>1.296</v>
      </c>
      <c r="O49" s="1">
        <v>1.3029999999999999</v>
      </c>
      <c r="P49" s="1">
        <v>1.3540000000000001</v>
      </c>
      <c r="Q49" s="1">
        <v>0.96099999999999997</v>
      </c>
      <c r="R49" s="1">
        <f t="shared" si="0"/>
        <v>0.29604222671774383</v>
      </c>
      <c r="S49" s="1">
        <v>347.7</v>
      </c>
      <c r="T49" s="1">
        <v>49.8</v>
      </c>
      <c r="U49" s="1">
        <v>167.6</v>
      </c>
      <c r="V49" s="1">
        <v>40.200000000000003</v>
      </c>
      <c r="W49" s="1">
        <v>257.60000000000002</v>
      </c>
      <c r="X49" s="1">
        <v>0.1</v>
      </c>
    </row>
    <row r="50" spans="1:24" ht="16">
      <c r="A50" s="3">
        <v>13</v>
      </c>
      <c r="B50" s="1" t="s">
        <v>23</v>
      </c>
      <c r="C50" s="1" t="s">
        <v>76</v>
      </c>
      <c r="D50" s="1" t="s">
        <v>25</v>
      </c>
      <c r="E50" s="1" t="s">
        <v>26</v>
      </c>
      <c r="F50" s="1">
        <v>251835</v>
      </c>
      <c r="G50" s="1">
        <v>2568402</v>
      </c>
      <c r="H50" s="4">
        <v>22.950661473219537</v>
      </c>
      <c r="I50" s="2">
        <v>1.8860000000000001E-3</v>
      </c>
      <c r="J50" s="2">
        <v>1.8810000000000001E-3</v>
      </c>
      <c r="K50" s="2">
        <v>1.462E-3</v>
      </c>
      <c r="L50" s="2">
        <v>1.743E-3</v>
      </c>
      <c r="M50" s="1">
        <v>1.0029999999999999</v>
      </c>
      <c r="N50" s="1">
        <v>1.2869999999999999</v>
      </c>
      <c r="O50" s="1">
        <v>1.29</v>
      </c>
      <c r="P50" s="1">
        <v>1.34</v>
      </c>
      <c r="Q50" s="1">
        <v>0.97799999999999998</v>
      </c>
      <c r="R50" s="1">
        <f t="shared" si="0"/>
        <v>0.28701567901423075</v>
      </c>
      <c r="S50" s="1">
        <v>271.3</v>
      </c>
      <c r="T50" s="1">
        <v>15.7</v>
      </c>
      <c r="U50" s="1">
        <v>9.4</v>
      </c>
      <c r="V50" s="1">
        <v>26.9</v>
      </c>
      <c r="W50" s="1">
        <v>154.4</v>
      </c>
      <c r="X50" s="1">
        <v>58.2</v>
      </c>
    </row>
    <row r="51" spans="1:24" ht="16">
      <c r="A51" s="3">
        <v>13</v>
      </c>
      <c r="B51" s="1" t="s">
        <v>23</v>
      </c>
      <c r="C51" s="1" t="s">
        <v>77</v>
      </c>
      <c r="D51" s="1" t="s">
        <v>25</v>
      </c>
      <c r="E51" s="1" t="s">
        <v>26</v>
      </c>
      <c r="F51" s="1">
        <v>251835</v>
      </c>
      <c r="G51" s="1">
        <v>2568402</v>
      </c>
      <c r="H51" s="4">
        <v>22.950661473219537</v>
      </c>
      <c r="I51" s="2">
        <v>1.6800000000000001E-3</v>
      </c>
      <c r="J51" s="2">
        <v>1.673E-3</v>
      </c>
      <c r="K51" s="2">
        <v>1.286E-3</v>
      </c>
      <c r="L51" s="2">
        <v>1.5460000000000001E-3</v>
      </c>
      <c r="M51" s="1">
        <v>1.004</v>
      </c>
      <c r="N51" s="1">
        <v>1.3</v>
      </c>
      <c r="O51" s="1">
        <v>1.306</v>
      </c>
      <c r="P51" s="1">
        <v>1.3580000000000001</v>
      </c>
      <c r="Q51" s="1">
        <v>0.96699999999999997</v>
      </c>
      <c r="R51" s="1">
        <f t="shared" si="0"/>
        <v>0.30002666548158685</v>
      </c>
      <c r="S51" s="1">
        <v>287.7</v>
      </c>
      <c r="T51" s="1">
        <v>22.7</v>
      </c>
      <c r="U51" s="1">
        <v>27.1</v>
      </c>
      <c r="V51" s="1">
        <v>21.3</v>
      </c>
      <c r="W51" s="1">
        <v>155.69999999999999</v>
      </c>
      <c r="X51" s="1">
        <v>58</v>
      </c>
    </row>
    <row r="52" spans="1:24" ht="16">
      <c r="A52" s="3">
        <v>13</v>
      </c>
      <c r="B52" s="1" t="s">
        <v>23</v>
      </c>
      <c r="C52" s="1" t="s">
        <v>78</v>
      </c>
      <c r="D52" s="1" t="s">
        <v>25</v>
      </c>
      <c r="E52" s="1" t="s">
        <v>26</v>
      </c>
      <c r="F52" s="1">
        <v>251835</v>
      </c>
      <c r="G52" s="1">
        <v>2568402</v>
      </c>
      <c r="H52" s="4">
        <v>22.950661473219537</v>
      </c>
      <c r="I52" s="2">
        <v>1.5479999999999999E-3</v>
      </c>
      <c r="J52" s="2">
        <v>1.5430000000000001E-3</v>
      </c>
      <c r="K52" s="2">
        <v>1.1980000000000001E-3</v>
      </c>
      <c r="L52" s="2">
        <v>1.4300000000000001E-3</v>
      </c>
      <c r="M52" s="1">
        <v>1.0029999999999999</v>
      </c>
      <c r="N52" s="1">
        <v>1.288</v>
      </c>
      <c r="O52" s="1">
        <v>1.292</v>
      </c>
      <c r="P52" s="1">
        <v>1.3420000000000001</v>
      </c>
      <c r="Q52" s="1">
        <v>0.97299999999999998</v>
      </c>
      <c r="R52" s="1">
        <f t="shared" si="0"/>
        <v>0.28801562457616775</v>
      </c>
      <c r="S52" s="1">
        <v>272.2</v>
      </c>
      <c r="T52" s="1">
        <v>18.3</v>
      </c>
      <c r="U52" s="1">
        <v>12</v>
      </c>
      <c r="V52" s="1">
        <v>27.1</v>
      </c>
      <c r="W52" s="1">
        <v>152.30000000000001</v>
      </c>
      <c r="X52" s="1">
        <v>56.4</v>
      </c>
    </row>
    <row r="53" spans="1:24" ht="16">
      <c r="A53" s="3">
        <v>13</v>
      </c>
      <c r="B53" s="1" t="s">
        <v>23</v>
      </c>
      <c r="C53" s="1" t="s">
        <v>79</v>
      </c>
      <c r="D53" s="1" t="s">
        <v>25</v>
      </c>
      <c r="E53" s="1" t="s">
        <v>26</v>
      </c>
      <c r="F53" s="1">
        <v>251835</v>
      </c>
      <c r="G53" s="1">
        <v>2568402</v>
      </c>
      <c r="H53" s="4">
        <v>22.950661473219537</v>
      </c>
      <c r="I53" s="2">
        <v>1.7799999999999999E-3</v>
      </c>
      <c r="J53" s="2">
        <v>1.7700000000000001E-3</v>
      </c>
      <c r="K53" s="2">
        <v>1.382E-3</v>
      </c>
      <c r="L53" s="2">
        <v>1.6440000000000001E-3</v>
      </c>
      <c r="M53" s="1">
        <v>1.006</v>
      </c>
      <c r="N53" s="1">
        <v>1.2809999999999999</v>
      </c>
      <c r="O53" s="1">
        <v>1.288</v>
      </c>
      <c r="P53" s="1">
        <v>1.3360000000000001</v>
      </c>
      <c r="Q53" s="1">
        <v>0.95599999999999996</v>
      </c>
      <c r="R53" s="1">
        <f t="shared" si="0"/>
        <v>0.2810640496399352</v>
      </c>
      <c r="S53" s="1">
        <v>284.7</v>
      </c>
      <c r="T53" s="1">
        <v>22.1</v>
      </c>
      <c r="U53" s="1">
        <v>24.3</v>
      </c>
      <c r="V53" s="1">
        <v>22.3</v>
      </c>
      <c r="W53" s="1">
        <v>154.80000000000001</v>
      </c>
      <c r="X53" s="1">
        <v>57.7</v>
      </c>
    </row>
    <row r="54" spans="1:24" ht="16">
      <c r="A54" s="3">
        <v>14</v>
      </c>
      <c r="B54" s="1" t="s">
        <v>23</v>
      </c>
      <c r="C54" s="1" t="s">
        <v>80</v>
      </c>
      <c r="D54" s="1" t="s">
        <v>81</v>
      </c>
      <c r="E54" s="1" t="s">
        <v>26</v>
      </c>
      <c r="F54" s="1">
        <v>252329</v>
      </c>
      <c r="G54" s="1">
        <v>2567753</v>
      </c>
      <c r="H54" s="4">
        <v>22.198344923749957</v>
      </c>
      <c r="I54" s="2">
        <v>1.951E-3</v>
      </c>
      <c r="J54" s="2">
        <v>1.8079999999999999E-3</v>
      </c>
      <c r="K54" s="2">
        <v>1.5579999999999999E-3</v>
      </c>
      <c r="L54" s="2">
        <v>1.7719999999999999E-3</v>
      </c>
      <c r="M54" s="1">
        <v>1.079</v>
      </c>
      <c r="N54" s="1">
        <v>1.1599999999999999</v>
      </c>
      <c r="O54" s="1">
        <v>1.252</v>
      </c>
      <c r="P54" s="1">
        <v>1.2569999999999999</v>
      </c>
      <c r="Q54" s="1">
        <v>0.32200000000000001</v>
      </c>
      <c r="R54" s="1">
        <f t="shared" si="0"/>
        <v>0.17844046626256044</v>
      </c>
      <c r="S54" s="1">
        <v>356.6</v>
      </c>
      <c r="T54" s="1">
        <v>62.1</v>
      </c>
      <c r="U54" s="1">
        <v>234.1</v>
      </c>
      <c r="V54" s="1">
        <v>15.9</v>
      </c>
      <c r="W54" s="1">
        <v>137.4</v>
      </c>
      <c r="X54" s="1">
        <v>22.3</v>
      </c>
    </row>
    <row r="55" spans="1:24" ht="16">
      <c r="A55" s="3">
        <v>14</v>
      </c>
      <c r="B55" s="1" t="s">
        <v>23</v>
      </c>
      <c r="C55" s="1" t="s">
        <v>82</v>
      </c>
      <c r="D55" s="1" t="s">
        <v>81</v>
      </c>
      <c r="E55" s="1" t="s">
        <v>26</v>
      </c>
      <c r="F55" s="1">
        <v>252329</v>
      </c>
      <c r="G55" s="1">
        <v>2567753</v>
      </c>
      <c r="H55" s="4">
        <v>22.198344923749957</v>
      </c>
      <c r="I55" s="2">
        <v>1.807E-3</v>
      </c>
      <c r="J55" s="2">
        <v>1.689E-3</v>
      </c>
      <c r="K55" s="2">
        <v>1.4580000000000001E-3</v>
      </c>
      <c r="L55" s="2">
        <v>1.652E-3</v>
      </c>
      <c r="M55" s="1">
        <v>1.07</v>
      </c>
      <c r="N55" s="1">
        <v>1.159</v>
      </c>
      <c r="O55" s="1">
        <v>1.24</v>
      </c>
      <c r="P55" s="1">
        <v>1.246</v>
      </c>
      <c r="Q55" s="1">
        <v>0.373</v>
      </c>
      <c r="R55" s="1">
        <f t="shared" si="0"/>
        <v>0.17372679701186003</v>
      </c>
      <c r="S55" s="1">
        <v>342.6</v>
      </c>
      <c r="T55" s="1">
        <v>63.9</v>
      </c>
      <c r="U55" s="1">
        <v>238</v>
      </c>
      <c r="V55" s="1">
        <v>7</v>
      </c>
      <c r="W55" s="1">
        <v>144.69999999999999</v>
      </c>
      <c r="X55" s="1">
        <v>25</v>
      </c>
    </row>
    <row r="56" spans="1:24" ht="16">
      <c r="A56" s="3">
        <v>14</v>
      </c>
      <c r="B56" s="1" t="s">
        <v>23</v>
      </c>
      <c r="C56" s="1" t="s">
        <v>83</v>
      </c>
      <c r="D56" s="1" t="s">
        <v>81</v>
      </c>
      <c r="E56" s="1" t="s">
        <v>26</v>
      </c>
      <c r="F56" s="1">
        <v>252329</v>
      </c>
      <c r="G56" s="1">
        <v>2567753</v>
      </c>
      <c r="H56" s="4">
        <v>22.198344923749957</v>
      </c>
      <c r="I56" s="2">
        <v>1.846E-3</v>
      </c>
      <c r="J56" s="2">
        <v>1.7240000000000001E-3</v>
      </c>
      <c r="K56" s="2">
        <v>1.4920000000000001E-3</v>
      </c>
      <c r="L56" s="2">
        <v>1.6869999999999999E-3</v>
      </c>
      <c r="M56" s="1">
        <v>1.071</v>
      </c>
      <c r="N56" s="1">
        <v>1.1559999999999999</v>
      </c>
      <c r="O56" s="1">
        <v>1.238</v>
      </c>
      <c r="P56" s="1">
        <v>1.2430000000000001</v>
      </c>
      <c r="Q56" s="1">
        <v>0.35699999999999998</v>
      </c>
      <c r="R56" s="1">
        <f t="shared" si="0"/>
        <v>0.17139719951037696</v>
      </c>
      <c r="S56" s="1">
        <v>347.6</v>
      </c>
      <c r="T56" s="1">
        <v>64</v>
      </c>
      <c r="U56" s="1">
        <v>239.2</v>
      </c>
      <c r="V56" s="1">
        <v>8.6999999999999993</v>
      </c>
      <c r="W56" s="1">
        <v>145.30000000000001</v>
      </c>
      <c r="X56" s="1">
        <v>24.3</v>
      </c>
    </row>
    <row r="57" spans="1:24" ht="16">
      <c r="A57" s="3">
        <v>14</v>
      </c>
      <c r="B57" s="1" t="s">
        <v>23</v>
      </c>
      <c r="C57" s="1" t="s">
        <v>84</v>
      </c>
      <c r="D57" s="1" t="s">
        <v>81</v>
      </c>
      <c r="E57" s="1" t="s">
        <v>26</v>
      </c>
      <c r="F57" s="1">
        <v>252329</v>
      </c>
      <c r="G57" s="1">
        <v>2567753</v>
      </c>
      <c r="H57" s="4">
        <v>22.198344923749957</v>
      </c>
      <c r="I57" s="2">
        <v>1.7799999999999999E-3</v>
      </c>
      <c r="J57" s="2">
        <v>1.645E-3</v>
      </c>
      <c r="K57" s="2">
        <v>1.428E-3</v>
      </c>
      <c r="L57" s="2">
        <v>1.6180000000000001E-3</v>
      </c>
      <c r="M57" s="1">
        <v>1.0820000000000001</v>
      </c>
      <c r="N57" s="1">
        <v>1.1519999999999999</v>
      </c>
      <c r="O57" s="1">
        <v>1.2470000000000001</v>
      </c>
      <c r="P57" s="1">
        <v>1.25</v>
      </c>
      <c r="Q57" s="1">
        <v>0.28799999999999998</v>
      </c>
      <c r="R57" s="1">
        <f t="shared" si="0"/>
        <v>0.17270784579746221</v>
      </c>
      <c r="S57" s="1">
        <v>354.4</v>
      </c>
      <c r="T57" s="1">
        <v>62.9</v>
      </c>
      <c r="U57" s="1">
        <v>239.1</v>
      </c>
      <c r="V57" s="1">
        <v>12.4</v>
      </c>
      <c r="W57" s="1">
        <v>143.5</v>
      </c>
      <c r="X57" s="1">
        <v>23.7</v>
      </c>
    </row>
    <row r="58" spans="1:24" ht="16">
      <c r="A58" s="3">
        <v>15</v>
      </c>
      <c r="B58" s="1" t="s">
        <v>23</v>
      </c>
      <c r="C58" s="1" t="s">
        <v>85</v>
      </c>
      <c r="D58" s="1" t="s">
        <v>25</v>
      </c>
      <c r="E58" s="1" t="s">
        <v>26</v>
      </c>
      <c r="F58" s="1">
        <v>251845</v>
      </c>
      <c r="G58" s="1">
        <v>2566041</v>
      </c>
      <c r="H58" s="4">
        <v>21.761501219181756</v>
      </c>
      <c r="I58" s="2">
        <v>4.1489999999999999E-3</v>
      </c>
      <c r="J58" s="2">
        <v>4.1339999999999997E-3</v>
      </c>
      <c r="K58" s="2">
        <v>3.2789999999999998E-3</v>
      </c>
      <c r="L58" s="2">
        <v>3.8539999999999998E-3</v>
      </c>
      <c r="M58" s="1">
        <v>1.2609999999999999</v>
      </c>
      <c r="N58" s="1">
        <v>1.0029999999999999</v>
      </c>
      <c r="O58" s="1">
        <v>1.2649999999999999</v>
      </c>
      <c r="P58" s="1">
        <v>1.3089999999999999</v>
      </c>
      <c r="Q58" s="1">
        <v>0.97099999999999997</v>
      </c>
      <c r="R58" s="1">
        <f t="shared" si="0"/>
        <v>0.26101724080987437</v>
      </c>
      <c r="S58" s="1">
        <v>67.099999999999994</v>
      </c>
      <c r="T58" s="1">
        <v>3.3</v>
      </c>
      <c r="U58" s="1">
        <v>158.80000000000001</v>
      </c>
      <c r="V58" s="1">
        <v>27.9</v>
      </c>
      <c r="W58" s="1">
        <v>330.9</v>
      </c>
      <c r="X58" s="1">
        <v>61.9</v>
      </c>
    </row>
    <row r="59" spans="1:24" ht="16">
      <c r="A59" s="3">
        <v>15</v>
      </c>
      <c r="B59" s="1" t="s">
        <v>23</v>
      </c>
      <c r="C59" s="1" t="s">
        <v>86</v>
      </c>
      <c r="D59" s="1" t="s">
        <v>25</v>
      </c>
      <c r="E59" s="1" t="s">
        <v>26</v>
      </c>
      <c r="F59" s="1">
        <v>251845</v>
      </c>
      <c r="G59" s="1">
        <v>2566041</v>
      </c>
      <c r="H59" s="4">
        <v>21.761501219181756</v>
      </c>
      <c r="I59" s="2">
        <v>4.0020000000000003E-3</v>
      </c>
      <c r="J59" s="2">
        <v>3.9890000000000004E-3</v>
      </c>
      <c r="K59" s="2">
        <v>3.16E-3</v>
      </c>
      <c r="L59" s="2">
        <v>3.7169999999999998E-3</v>
      </c>
      <c r="M59" s="1">
        <v>1.262</v>
      </c>
      <c r="N59" s="1">
        <v>1.0029999999999999</v>
      </c>
      <c r="O59" s="1">
        <v>1.266</v>
      </c>
      <c r="P59" s="1">
        <v>1.3109999999999999</v>
      </c>
      <c r="Q59" s="1">
        <v>0.97199999999999998</v>
      </c>
      <c r="R59" s="1">
        <f t="shared" si="0"/>
        <v>0.26201717500957833</v>
      </c>
      <c r="S59" s="1">
        <v>220.3</v>
      </c>
      <c r="T59" s="1">
        <v>12.9</v>
      </c>
      <c r="U59" s="1">
        <v>124</v>
      </c>
      <c r="V59" s="1">
        <v>25.6</v>
      </c>
      <c r="W59" s="1">
        <v>334.6</v>
      </c>
      <c r="X59" s="1">
        <v>60.9</v>
      </c>
    </row>
    <row r="60" spans="1:24" ht="16">
      <c r="A60" s="3">
        <v>15</v>
      </c>
      <c r="B60" s="1" t="s">
        <v>23</v>
      </c>
      <c r="C60" s="1" t="s">
        <v>87</v>
      </c>
      <c r="D60" s="1" t="s">
        <v>25</v>
      </c>
      <c r="E60" s="1" t="s">
        <v>26</v>
      </c>
      <c r="F60" s="1">
        <v>251845</v>
      </c>
      <c r="G60" s="1">
        <v>2566041</v>
      </c>
      <c r="H60" s="4">
        <v>21.761501219181756</v>
      </c>
      <c r="I60" s="2">
        <v>3.9899999999999996E-3</v>
      </c>
      <c r="J60" s="2">
        <v>3.9610000000000001E-3</v>
      </c>
      <c r="K60" s="2">
        <v>3.1770000000000001E-3</v>
      </c>
      <c r="L60" s="2">
        <v>3.7090000000000001E-3</v>
      </c>
      <c r="M60" s="1">
        <v>1.2470000000000001</v>
      </c>
      <c r="N60" s="1">
        <v>1.0069999999999999</v>
      </c>
      <c r="O60" s="1">
        <v>1.256</v>
      </c>
      <c r="P60" s="1">
        <v>1.296</v>
      </c>
      <c r="Q60" s="1">
        <v>0.93500000000000005</v>
      </c>
      <c r="R60" s="1">
        <f t="shared" si="0"/>
        <v>0.24709917037497325</v>
      </c>
      <c r="S60" s="1">
        <v>210.4</v>
      </c>
      <c r="T60" s="1">
        <v>17.100000000000001</v>
      </c>
      <c r="U60" s="1">
        <v>113.4</v>
      </c>
      <c r="V60" s="1">
        <v>21.7</v>
      </c>
      <c r="W60" s="1">
        <v>335.4</v>
      </c>
      <c r="X60" s="1">
        <v>61.9</v>
      </c>
    </row>
    <row r="61" spans="1:24" ht="16">
      <c r="A61" s="3">
        <v>15</v>
      </c>
      <c r="B61" s="1" t="s">
        <v>23</v>
      </c>
      <c r="C61" s="1" t="s">
        <v>88</v>
      </c>
      <c r="D61" s="1" t="s">
        <v>25</v>
      </c>
      <c r="E61" s="1" t="s">
        <v>26</v>
      </c>
      <c r="F61" s="1">
        <v>251845</v>
      </c>
      <c r="G61" s="1">
        <v>2566041</v>
      </c>
      <c r="H61" s="4">
        <v>21.761501219181756</v>
      </c>
      <c r="I61" s="2">
        <v>4.2119999999999996E-3</v>
      </c>
      <c r="J61" s="2">
        <v>4.1799999999999997E-3</v>
      </c>
      <c r="K61" s="2">
        <v>3.349E-3</v>
      </c>
      <c r="L61" s="2">
        <v>3.9129999999999998E-3</v>
      </c>
      <c r="M61" s="1">
        <v>1.248</v>
      </c>
      <c r="N61" s="1">
        <v>1.008</v>
      </c>
      <c r="O61" s="1">
        <v>1.258</v>
      </c>
      <c r="P61" s="1">
        <v>1.298</v>
      </c>
      <c r="Q61" s="1">
        <v>0.93400000000000005</v>
      </c>
      <c r="R61" s="1">
        <f t="shared" si="0"/>
        <v>0.24812899870833316</v>
      </c>
      <c r="S61" s="1">
        <v>207.2</v>
      </c>
      <c r="T61" s="1">
        <v>18</v>
      </c>
      <c r="U61" s="1">
        <v>110.3</v>
      </c>
      <c r="V61" s="1">
        <v>20.3</v>
      </c>
      <c r="W61" s="1">
        <v>335.6</v>
      </c>
      <c r="X61" s="1">
        <v>62.3</v>
      </c>
    </row>
    <row r="62" spans="1:24" ht="16">
      <c r="A62" s="3">
        <v>16</v>
      </c>
      <c r="B62" s="1" t="s">
        <v>23</v>
      </c>
      <c r="C62" s="1" t="s">
        <v>89</v>
      </c>
      <c r="D62" s="1" t="s">
        <v>25</v>
      </c>
      <c r="E62" s="1" t="s">
        <v>26</v>
      </c>
      <c r="F62" s="1">
        <v>251839</v>
      </c>
      <c r="G62" s="1">
        <v>2566010</v>
      </c>
      <c r="H62" s="4">
        <v>21.751197371604331</v>
      </c>
      <c r="I62" s="2">
        <v>3.418E-3</v>
      </c>
      <c r="J62" s="2">
        <v>3.382E-3</v>
      </c>
      <c r="K62" s="2">
        <v>2.6640000000000001E-3</v>
      </c>
      <c r="L62" s="2">
        <v>3.1549999999999998E-3</v>
      </c>
      <c r="M62" s="1">
        <v>1.27</v>
      </c>
      <c r="N62" s="1">
        <v>1.01</v>
      </c>
      <c r="O62" s="1">
        <v>1.2829999999999999</v>
      </c>
      <c r="P62" s="1">
        <v>1.3260000000000001</v>
      </c>
      <c r="Q62" s="1">
        <v>0.91700000000000004</v>
      </c>
      <c r="R62" s="1">
        <f t="shared" si="0"/>
        <v>0.27018512172212594</v>
      </c>
      <c r="S62" s="1">
        <v>245.4</v>
      </c>
      <c r="T62" s="1">
        <v>4.0999999999999996</v>
      </c>
      <c r="U62" s="1">
        <v>153</v>
      </c>
      <c r="V62" s="1">
        <v>29.5</v>
      </c>
      <c r="W62" s="1">
        <v>342.6</v>
      </c>
      <c r="X62" s="1">
        <v>60.2</v>
      </c>
    </row>
    <row r="63" spans="1:24" ht="16">
      <c r="A63" s="3">
        <v>16</v>
      </c>
      <c r="B63" s="1" t="s">
        <v>23</v>
      </c>
      <c r="C63" s="1" t="s">
        <v>90</v>
      </c>
      <c r="D63" s="1" t="s">
        <v>25</v>
      </c>
      <c r="E63" s="1" t="s">
        <v>26</v>
      </c>
      <c r="F63" s="1">
        <v>251839</v>
      </c>
      <c r="G63" s="1">
        <v>2566010</v>
      </c>
      <c r="H63" s="4">
        <v>21.751197371604331</v>
      </c>
      <c r="I63" s="2">
        <v>3.3939999999999999E-3</v>
      </c>
      <c r="J63" s="2">
        <v>3.3769999999999998E-3</v>
      </c>
      <c r="K63" s="2">
        <v>2.568E-3</v>
      </c>
      <c r="L63" s="2">
        <v>3.1129999999999999E-3</v>
      </c>
      <c r="M63" s="1">
        <v>1.3149999999999999</v>
      </c>
      <c r="N63" s="1">
        <v>1.0049999999999999</v>
      </c>
      <c r="O63" s="1">
        <v>1.3220000000000001</v>
      </c>
      <c r="P63" s="1">
        <v>1.3759999999999999</v>
      </c>
      <c r="Q63" s="1">
        <v>0.96399999999999997</v>
      </c>
      <c r="R63" s="1">
        <f t="shared" si="0"/>
        <v>0.31503968004046723</v>
      </c>
      <c r="S63" s="1">
        <v>67.099999999999994</v>
      </c>
      <c r="T63" s="1">
        <v>0.7</v>
      </c>
      <c r="U63" s="1">
        <v>157.5</v>
      </c>
      <c r="V63" s="1">
        <v>30.2</v>
      </c>
      <c r="W63" s="1">
        <v>335.9</v>
      </c>
      <c r="X63" s="1">
        <v>59.8</v>
      </c>
    </row>
    <row r="64" spans="1:24" ht="16">
      <c r="A64" s="3">
        <v>16</v>
      </c>
      <c r="B64" s="1" t="s">
        <v>23</v>
      </c>
      <c r="C64" s="1" t="s">
        <v>91</v>
      </c>
      <c r="D64" s="1" t="s">
        <v>25</v>
      </c>
      <c r="E64" s="1" t="s">
        <v>26</v>
      </c>
      <c r="F64" s="1">
        <v>251839</v>
      </c>
      <c r="G64" s="1">
        <v>2566010</v>
      </c>
      <c r="H64" s="4">
        <v>21.751197371604331</v>
      </c>
      <c r="I64" s="2">
        <v>3.4169999999999999E-3</v>
      </c>
      <c r="J64" s="2">
        <v>3.3969999999999998E-3</v>
      </c>
      <c r="K64" s="2">
        <v>2.6199999999999999E-3</v>
      </c>
      <c r="L64" s="2">
        <v>3.1440000000000001E-3</v>
      </c>
      <c r="M64" s="1">
        <v>1.296</v>
      </c>
      <c r="N64" s="1">
        <v>1.006</v>
      </c>
      <c r="O64" s="1">
        <v>1.304</v>
      </c>
      <c r="P64" s="1">
        <v>1.3540000000000001</v>
      </c>
      <c r="Q64" s="1">
        <v>0.95599999999999996</v>
      </c>
      <c r="R64" s="1">
        <f t="shared" si="0"/>
        <v>0.29606080456554867</v>
      </c>
      <c r="S64" s="1">
        <v>97</v>
      </c>
      <c r="T64" s="1">
        <v>15.7</v>
      </c>
      <c r="U64" s="1">
        <v>195</v>
      </c>
      <c r="V64" s="1">
        <v>26.4</v>
      </c>
      <c r="W64" s="1">
        <v>339.5</v>
      </c>
      <c r="X64" s="1">
        <v>58.6</v>
      </c>
    </row>
    <row r="65" spans="1:24" ht="16">
      <c r="A65" s="3">
        <v>16</v>
      </c>
      <c r="B65" s="1" t="s">
        <v>23</v>
      </c>
      <c r="C65" s="1" t="s">
        <v>92</v>
      </c>
      <c r="D65" s="1" t="s">
        <v>25</v>
      </c>
      <c r="E65" s="1" t="s">
        <v>26</v>
      </c>
      <c r="F65" s="1">
        <v>251839</v>
      </c>
      <c r="G65" s="1">
        <v>2566010</v>
      </c>
      <c r="H65" s="4">
        <v>21.751197371604331</v>
      </c>
      <c r="I65" s="2">
        <v>3.3249999999999998E-3</v>
      </c>
      <c r="J65" s="2">
        <v>3.2959999999999999E-3</v>
      </c>
      <c r="K65" s="2">
        <v>2.545E-3</v>
      </c>
      <c r="L65" s="2">
        <v>3.055E-3</v>
      </c>
      <c r="M65" s="1">
        <v>1.2949999999999999</v>
      </c>
      <c r="N65" s="1">
        <v>1.0089999999999999</v>
      </c>
      <c r="O65" s="1">
        <v>1.306</v>
      </c>
      <c r="P65" s="1">
        <v>1.355</v>
      </c>
      <c r="Q65" s="1">
        <v>0.93400000000000005</v>
      </c>
      <c r="R65" s="1">
        <f t="shared" si="0"/>
        <v>0.29513725620463432</v>
      </c>
      <c r="S65" s="1">
        <v>101.6</v>
      </c>
      <c r="T65" s="1">
        <v>15.4</v>
      </c>
      <c r="U65" s="1">
        <v>198.3</v>
      </c>
      <c r="V65" s="1">
        <v>23</v>
      </c>
      <c r="W65" s="1">
        <v>340.8</v>
      </c>
      <c r="X65" s="1">
        <v>61.8</v>
      </c>
    </row>
    <row r="66" spans="1:24" ht="16">
      <c r="A66" s="3">
        <v>17</v>
      </c>
      <c r="B66" s="1" t="s">
        <v>23</v>
      </c>
      <c r="C66" s="1" t="s">
        <v>93</v>
      </c>
      <c r="D66" s="1" t="s">
        <v>25</v>
      </c>
      <c r="E66" s="1" t="s">
        <v>26</v>
      </c>
      <c r="F66" s="1">
        <v>252053</v>
      </c>
      <c r="G66" s="1">
        <v>2566152</v>
      </c>
      <c r="H66" s="4">
        <v>21.636867935194516</v>
      </c>
      <c r="I66" s="2">
        <v>3.0850000000000001E-3</v>
      </c>
      <c r="J66" s="2">
        <v>3.0469999999999998E-3</v>
      </c>
      <c r="K66" s="2">
        <v>2.3640000000000002E-3</v>
      </c>
      <c r="L66" s="2">
        <v>2.8319999999999999E-3</v>
      </c>
      <c r="M66" s="1">
        <v>1.012</v>
      </c>
      <c r="N66" s="1">
        <v>1.2889999999999999</v>
      </c>
      <c r="O66" s="1">
        <v>1.3049999999999999</v>
      </c>
      <c r="P66" s="1">
        <v>1.35</v>
      </c>
      <c r="Q66" s="1">
        <v>0.90800000000000003</v>
      </c>
      <c r="R66" s="1">
        <f t="shared" ref="R66:R129" si="1">((M66-1)^2+(N66-1)^2)^0.5</f>
        <v>0.28924902765610117</v>
      </c>
      <c r="S66" s="1">
        <v>86.2</v>
      </c>
      <c r="T66" s="1">
        <v>11.8</v>
      </c>
      <c r="U66" s="1">
        <v>187.3</v>
      </c>
      <c r="V66" s="1">
        <v>42.7</v>
      </c>
      <c r="W66" s="1">
        <v>344.1</v>
      </c>
      <c r="X66" s="1">
        <v>44.9</v>
      </c>
    </row>
    <row r="67" spans="1:24" ht="16">
      <c r="A67" s="3">
        <v>17</v>
      </c>
      <c r="B67" s="1" t="s">
        <v>23</v>
      </c>
      <c r="C67" s="1" t="s">
        <v>94</v>
      </c>
      <c r="D67" s="1" t="s">
        <v>25</v>
      </c>
      <c r="E67" s="1" t="s">
        <v>26</v>
      </c>
      <c r="F67" s="1">
        <v>252053</v>
      </c>
      <c r="G67" s="1">
        <v>2566152</v>
      </c>
      <c r="H67" s="4">
        <v>21.636867935194516</v>
      </c>
      <c r="I67" s="2">
        <v>3.2829999999999999E-3</v>
      </c>
      <c r="J67" s="2">
        <v>3.251E-3</v>
      </c>
      <c r="K67" s="2">
        <v>2.5400000000000002E-3</v>
      </c>
      <c r="L67" s="2">
        <v>3.0249999999999999E-3</v>
      </c>
      <c r="M67" s="1">
        <v>1.01</v>
      </c>
      <c r="N67" s="1">
        <v>1.28</v>
      </c>
      <c r="O67" s="1">
        <v>1.292</v>
      </c>
      <c r="P67" s="1">
        <v>1.3380000000000001</v>
      </c>
      <c r="Q67" s="1">
        <v>0.92600000000000005</v>
      </c>
      <c r="R67" s="1">
        <f t="shared" si="1"/>
        <v>0.28017851452243803</v>
      </c>
      <c r="S67" s="1">
        <v>88.4</v>
      </c>
      <c r="T67" s="1">
        <v>15</v>
      </c>
      <c r="U67" s="1">
        <v>193.1</v>
      </c>
      <c r="V67" s="1">
        <v>43.5</v>
      </c>
      <c r="W67" s="1">
        <v>344.1</v>
      </c>
      <c r="X67" s="1">
        <v>42.7</v>
      </c>
    </row>
    <row r="68" spans="1:24" ht="16">
      <c r="A68" s="3">
        <v>17</v>
      </c>
      <c r="B68" s="1" t="s">
        <v>23</v>
      </c>
      <c r="C68" s="1" t="s">
        <v>95</v>
      </c>
      <c r="D68" s="1" t="s">
        <v>25</v>
      </c>
      <c r="E68" s="1" t="s">
        <v>26</v>
      </c>
      <c r="F68" s="1">
        <v>252053</v>
      </c>
      <c r="G68" s="1">
        <v>2566152</v>
      </c>
      <c r="H68" s="4">
        <v>21.636867935194516</v>
      </c>
      <c r="I68" s="2">
        <v>3.0799999999999998E-3</v>
      </c>
      <c r="J68" s="2">
        <v>3.0349999999999999E-3</v>
      </c>
      <c r="K68" s="2">
        <v>2.3419999999999999E-3</v>
      </c>
      <c r="L68" s="2">
        <v>2.8189999999999999E-3</v>
      </c>
      <c r="M68" s="1">
        <v>1.0149999999999999</v>
      </c>
      <c r="N68" s="1">
        <v>1.296</v>
      </c>
      <c r="O68" s="1">
        <v>1.3149999999999999</v>
      </c>
      <c r="P68" s="1">
        <v>1.361</v>
      </c>
      <c r="Q68" s="1">
        <v>0.89500000000000002</v>
      </c>
      <c r="R68" s="1">
        <f t="shared" si="1"/>
        <v>0.29637982387470307</v>
      </c>
      <c r="S68" s="1">
        <v>89.2</v>
      </c>
      <c r="T68" s="1">
        <v>14.6</v>
      </c>
      <c r="U68" s="1">
        <v>192.7</v>
      </c>
      <c r="V68" s="1">
        <v>42</v>
      </c>
      <c r="W68" s="1">
        <v>344.4</v>
      </c>
      <c r="X68" s="1">
        <v>44.4</v>
      </c>
    </row>
    <row r="69" spans="1:24" ht="16">
      <c r="A69" s="3">
        <v>17</v>
      </c>
      <c r="B69" s="1" t="s">
        <v>23</v>
      </c>
      <c r="C69" s="1" t="s">
        <v>96</v>
      </c>
      <c r="D69" s="1" t="s">
        <v>25</v>
      </c>
      <c r="E69" s="1" t="s">
        <v>26</v>
      </c>
      <c r="F69" s="1">
        <v>252053</v>
      </c>
      <c r="G69" s="1">
        <v>2566152</v>
      </c>
      <c r="H69" s="4">
        <v>21.636867935194516</v>
      </c>
      <c r="I69" s="2">
        <v>3.4229999999999998E-3</v>
      </c>
      <c r="J69" s="2">
        <v>3.405E-3</v>
      </c>
      <c r="K69" s="2">
        <v>2.653E-3</v>
      </c>
      <c r="L69" s="2">
        <v>3.16E-3</v>
      </c>
      <c r="M69" s="1">
        <v>1.0049999999999999</v>
      </c>
      <c r="N69" s="1">
        <v>1.284</v>
      </c>
      <c r="O69" s="1">
        <v>1.29</v>
      </c>
      <c r="P69" s="1">
        <v>1.3380000000000001</v>
      </c>
      <c r="Q69" s="1">
        <v>0.96</v>
      </c>
      <c r="R69" s="1">
        <f t="shared" si="1"/>
        <v>0.28404401067440238</v>
      </c>
      <c r="S69" s="1">
        <v>78.599999999999994</v>
      </c>
      <c r="T69" s="1">
        <v>4</v>
      </c>
      <c r="U69" s="1">
        <v>173</v>
      </c>
      <c r="V69" s="1">
        <v>47.7</v>
      </c>
      <c r="W69" s="1">
        <v>344.9</v>
      </c>
      <c r="X69" s="1">
        <v>42</v>
      </c>
    </row>
    <row r="70" spans="1:24" ht="16">
      <c r="A70" s="3">
        <v>18</v>
      </c>
      <c r="B70" s="1" t="s">
        <v>23</v>
      </c>
      <c r="C70" s="1" t="s">
        <v>97</v>
      </c>
      <c r="D70" s="1" t="s">
        <v>81</v>
      </c>
      <c r="E70" s="1" t="s">
        <v>26</v>
      </c>
      <c r="F70" s="1">
        <v>253056</v>
      </c>
      <c r="G70" s="1">
        <v>2567446</v>
      </c>
      <c r="H70" s="4">
        <v>21.415244455198803</v>
      </c>
      <c r="I70" s="2">
        <v>8.4420000000000003E-4</v>
      </c>
      <c r="J70" s="2">
        <v>7.9949999999999997E-4</v>
      </c>
      <c r="K70" s="2">
        <v>7.6420000000000004E-4</v>
      </c>
      <c r="L70" s="2">
        <v>8.0259999999999999E-4</v>
      </c>
      <c r="M70" s="1">
        <v>1.056</v>
      </c>
      <c r="N70" s="1">
        <v>1.046</v>
      </c>
      <c r="O70" s="1">
        <v>1.105</v>
      </c>
      <c r="P70" s="1">
        <v>1.105</v>
      </c>
      <c r="Q70" s="1">
        <v>-9.5000000000000001E-2</v>
      </c>
      <c r="R70" s="1">
        <f t="shared" si="1"/>
        <v>7.2470683727973814E-2</v>
      </c>
      <c r="S70" s="1">
        <v>13.2</v>
      </c>
      <c r="T70" s="1">
        <v>33.799999999999997</v>
      </c>
      <c r="U70" s="1">
        <v>238.3</v>
      </c>
      <c r="V70" s="1">
        <v>46.5</v>
      </c>
      <c r="W70" s="1">
        <v>120.4</v>
      </c>
      <c r="X70" s="1">
        <v>24</v>
      </c>
    </row>
    <row r="71" spans="1:24" ht="16">
      <c r="A71" s="3">
        <v>18</v>
      </c>
      <c r="B71" s="1" t="s">
        <v>23</v>
      </c>
      <c r="C71" s="1" t="s">
        <v>98</v>
      </c>
      <c r="D71" s="1" t="s">
        <v>81</v>
      </c>
      <c r="E71" s="1" t="s">
        <v>26</v>
      </c>
      <c r="F71" s="1">
        <v>253056</v>
      </c>
      <c r="G71" s="1">
        <v>2567446</v>
      </c>
      <c r="H71" s="4">
        <v>21.415244455198803</v>
      </c>
      <c r="I71" s="2">
        <v>1.077E-3</v>
      </c>
      <c r="J71" s="2">
        <v>1.026E-3</v>
      </c>
      <c r="K71" s="2">
        <v>9.7260000000000001E-4</v>
      </c>
      <c r="L71" s="2">
        <v>1.0250000000000001E-3</v>
      </c>
      <c r="M71" s="1">
        <v>1.0489999999999999</v>
      </c>
      <c r="N71" s="1">
        <v>1.0549999999999999</v>
      </c>
      <c r="O71" s="1">
        <v>1.107</v>
      </c>
      <c r="P71" s="1">
        <v>1.107</v>
      </c>
      <c r="Q71" s="1">
        <v>5.5E-2</v>
      </c>
      <c r="R71" s="1">
        <f t="shared" si="1"/>
        <v>7.3661387442811491E-2</v>
      </c>
      <c r="S71" s="1">
        <v>14.1</v>
      </c>
      <c r="T71" s="1">
        <v>36.9</v>
      </c>
      <c r="U71" s="1">
        <v>231</v>
      </c>
      <c r="V71" s="1">
        <v>46.8</v>
      </c>
      <c r="W71" s="1">
        <v>119.3</v>
      </c>
      <c r="X71" s="1">
        <v>19.2</v>
      </c>
    </row>
    <row r="72" spans="1:24" ht="16">
      <c r="A72" s="3">
        <v>18</v>
      </c>
      <c r="B72" s="1" t="s">
        <v>23</v>
      </c>
      <c r="C72" s="1" t="s">
        <v>99</v>
      </c>
      <c r="D72" s="1" t="s">
        <v>81</v>
      </c>
      <c r="E72" s="1" t="s">
        <v>26</v>
      </c>
      <c r="F72" s="1">
        <v>253056</v>
      </c>
      <c r="G72" s="1">
        <v>2567446</v>
      </c>
      <c r="H72" s="4">
        <v>21.415244455198803</v>
      </c>
      <c r="I72" s="2">
        <v>9.4189999999999996E-4</v>
      </c>
      <c r="J72" s="2">
        <v>9.0410000000000002E-4</v>
      </c>
      <c r="K72" s="2">
        <v>8.5780000000000003E-4</v>
      </c>
      <c r="L72" s="2">
        <v>9.0129999999999995E-4</v>
      </c>
      <c r="M72" s="1">
        <v>1.042</v>
      </c>
      <c r="N72" s="1">
        <v>1.054</v>
      </c>
      <c r="O72" s="1">
        <v>1.0980000000000001</v>
      </c>
      <c r="P72" s="1">
        <v>1.0980000000000001</v>
      </c>
      <c r="Q72" s="1">
        <v>0.123</v>
      </c>
      <c r="R72" s="1">
        <f t="shared" si="1"/>
        <v>6.8410525505948339E-2</v>
      </c>
      <c r="S72" s="1">
        <v>17</v>
      </c>
      <c r="T72" s="1">
        <v>38.299999999999997</v>
      </c>
      <c r="U72" s="1">
        <v>231.8</v>
      </c>
      <c r="V72" s="1">
        <v>46.1</v>
      </c>
      <c r="W72" s="1">
        <v>121.9</v>
      </c>
      <c r="X72" s="1">
        <v>18.100000000000001</v>
      </c>
    </row>
    <row r="73" spans="1:24" ht="16">
      <c r="A73" s="3">
        <v>18</v>
      </c>
      <c r="B73" s="1" t="s">
        <v>23</v>
      </c>
      <c r="C73" s="1" t="s">
        <v>100</v>
      </c>
      <c r="D73" s="1" t="s">
        <v>81</v>
      </c>
      <c r="E73" s="1" t="s">
        <v>26</v>
      </c>
      <c r="F73" s="1">
        <v>253056</v>
      </c>
      <c r="G73" s="1">
        <v>2567446</v>
      </c>
      <c r="H73" s="4">
        <v>21.415244455198803</v>
      </c>
      <c r="I73" s="2">
        <v>8.6089999999999995E-4</v>
      </c>
      <c r="J73" s="2">
        <v>8.1930000000000002E-4</v>
      </c>
      <c r="K73" s="2">
        <v>7.8330000000000001E-4</v>
      </c>
      <c r="L73" s="2">
        <v>8.2120000000000001E-4</v>
      </c>
      <c r="M73" s="1">
        <v>1.0509999999999999</v>
      </c>
      <c r="N73" s="1">
        <v>1.046</v>
      </c>
      <c r="O73" s="1">
        <v>1.099</v>
      </c>
      <c r="P73" s="1">
        <v>1.099</v>
      </c>
      <c r="Q73" s="1">
        <v>-4.8000000000000001E-2</v>
      </c>
      <c r="R73" s="1">
        <f t="shared" si="1"/>
        <v>6.8680419334771078E-2</v>
      </c>
      <c r="S73" s="1">
        <v>14.9</v>
      </c>
      <c r="T73" s="1">
        <v>35.700000000000003</v>
      </c>
      <c r="U73" s="1">
        <v>234.2</v>
      </c>
      <c r="V73" s="1">
        <v>47.1</v>
      </c>
      <c r="W73" s="1">
        <v>120.5</v>
      </c>
      <c r="X73" s="1">
        <v>20.5</v>
      </c>
    </row>
    <row r="74" spans="1:24" ht="16">
      <c r="A74" s="3">
        <v>19</v>
      </c>
      <c r="B74" s="1" t="s">
        <v>23</v>
      </c>
      <c r="C74" s="1" t="s">
        <v>101</v>
      </c>
      <c r="D74" s="1" t="s">
        <v>25</v>
      </c>
      <c r="E74" s="1" t="s">
        <v>26</v>
      </c>
      <c r="F74" s="1">
        <v>252041</v>
      </c>
      <c r="G74" s="1">
        <v>2565354</v>
      </c>
      <c r="H74" s="4">
        <v>21.248260240039947</v>
      </c>
      <c r="I74" s="2">
        <v>3.882E-3</v>
      </c>
      <c r="J74" s="2">
        <v>3.4780000000000002E-3</v>
      </c>
      <c r="K74" s="2">
        <v>2.8170000000000001E-3</v>
      </c>
      <c r="L74" s="2">
        <v>3.392E-3</v>
      </c>
      <c r="M74" s="1">
        <v>1.2350000000000001</v>
      </c>
      <c r="N74" s="1">
        <v>1.1160000000000001</v>
      </c>
      <c r="O74" s="1">
        <v>1.3779999999999999</v>
      </c>
      <c r="P74" s="1">
        <v>1.3859999999999999</v>
      </c>
      <c r="Q74" s="1">
        <v>0.315</v>
      </c>
      <c r="R74" s="1">
        <f t="shared" si="1"/>
        <v>0.26207060117456915</v>
      </c>
      <c r="S74" s="1">
        <v>42.5</v>
      </c>
      <c r="T74" s="1">
        <v>31.8</v>
      </c>
      <c r="U74" s="1">
        <v>161.80000000000001</v>
      </c>
      <c r="V74" s="1">
        <v>38.200000000000003</v>
      </c>
      <c r="W74" s="1">
        <v>286.10000000000002</v>
      </c>
      <c r="X74" s="1">
        <v>35.6</v>
      </c>
    </row>
    <row r="75" spans="1:24" ht="16">
      <c r="A75" s="3">
        <v>19</v>
      </c>
      <c r="B75" s="1" t="s">
        <v>23</v>
      </c>
      <c r="C75" s="1" t="s">
        <v>102</v>
      </c>
      <c r="D75" s="1" t="s">
        <v>25</v>
      </c>
      <c r="E75" s="1" t="s">
        <v>26</v>
      </c>
      <c r="F75" s="1">
        <v>252041</v>
      </c>
      <c r="G75" s="1">
        <v>2565354</v>
      </c>
      <c r="H75" s="4">
        <v>21.248260240039947</v>
      </c>
      <c r="I75" s="2">
        <v>4.4860000000000004E-3</v>
      </c>
      <c r="J75" s="2">
        <v>4.032E-3</v>
      </c>
      <c r="K75" s="2">
        <v>3.1189999999999998E-3</v>
      </c>
      <c r="L75" s="2">
        <v>3.8790000000000001E-3</v>
      </c>
      <c r="M75" s="1">
        <v>1.2929999999999999</v>
      </c>
      <c r="N75" s="1">
        <v>1.113</v>
      </c>
      <c r="O75" s="1">
        <v>1.4379999999999999</v>
      </c>
      <c r="P75" s="1">
        <v>1.4530000000000001</v>
      </c>
      <c r="Q75" s="1">
        <v>0.41199999999999998</v>
      </c>
      <c r="R75" s="1">
        <f t="shared" si="1"/>
        <v>0.31403502989316329</v>
      </c>
      <c r="S75" s="1">
        <v>45.5</v>
      </c>
      <c r="T75" s="1">
        <v>32.299999999999997</v>
      </c>
      <c r="U75" s="1">
        <v>160.5</v>
      </c>
      <c r="V75" s="1">
        <v>33.9</v>
      </c>
      <c r="W75" s="1">
        <v>284.10000000000002</v>
      </c>
      <c r="X75" s="1">
        <v>39.5</v>
      </c>
    </row>
    <row r="76" spans="1:24" ht="16">
      <c r="A76" s="3">
        <v>19</v>
      </c>
      <c r="B76" s="1" t="s">
        <v>23</v>
      </c>
      <c r="C76" s="1" t="s">
        <v>103</v>
      </c>
      <c r="D76" s="1" t="s">
        <v>25</v>
      </c>
      <c r="E76" s="1" t="s">
        <v>26</v>
      </c>
      <c r="F76" s="1">
        <v>252041</v>
      </c>
      <c r="G76" s="1">
        <v>2565354</v>
      </c>
      <c r="H76" s="4">
        <v>21.248260240039947</v>
      </c>
      <c r="I76" s="2">
        <v>3.6350000000000002E-3</v>
      </c>
      <c r="J76" s="2">
        <v>3.2650000000000001E-3</v>
      </c>
      <c r="K76" s="2">
        <v>2.611E-3</v>
      </c>
      <c r="L76" s="2">
        <v>3.1700000000000001E-3</v>
      </c>
      <c r="M76" s="1">
        <v>1.2509999999999999</v>
      </c>
      <c r="N76" s="1">
        <v>1.113</v>
      </c>
      <c r="O76" s="1">
        <v>1.3919999999999999</v>
      </c>
      <c r="P76" s="1">
        <v>1.4019999999999999</v>
      </c>
      <c r="Q76" s="1">
        <v>0.35099999999999998</v>
      </c>
      <c r="R76" s="1">
        <f t="shared" si="1"/>
        <v>0.27526351011349098</v>
      </c>
      <c r="S76" s="1">
        <v>43.4</v>
      </c>
      <c r="T76" s="1">
        <v>30.9</v>
      </c>
      <c r="U76" s="1">
        <v>163.19999999999999</v>
      </c>
      <c r="V76" s="1">
        <v>39.700000000000003</v>
      </c>
      <c r="W76" s="1">
        <v>288.7</v>
      </c>
      <c r="X76" s="1">
        <v>34.9</v>
      </c>
    </row>
    <row r="77" spans="1:24" ht="16">
      <c r="A77" s="3">
        <v>20</v>
      </c>
      <c r="B77" s="1" t="s">
        <v>23</v>
      </c>
      <c r="C77" s="1" t="s">
        <v>104</v>
      </c>
      <c r="D77" s="1" t="s">
        <v>25</v>
      </c>
      <c r="E77" s="1" t="s">
        <v>26</v>
      </c>
      <c r="F77" s="1">
        <v>252041</v>
      </c>
      <c r="G77" s="1">
        <v>2565354</v>
      </c>
      <c r="H77" s="4">
        <v>21.248260240039947</v>
      </c>
      <c r="I77" s="2">
        <v>3.9139999999999999E-3</v>
      </c>
      <c r="J77" s="2">
        <v>3.5130000000000001E-3</v>
      </c>
      <c r="K77" s="2">
        <v>2.738E-3</v>
      </c>
      <c r="L77" s="2">
        <v>3.3890000000000001E-3</v>
      </c>
      <c r="M77" s="1">
        <v>1.2829999999999999</v>
      </c>
      <c r="N77" s="1">
        <v>1.1140000000000001</v>
      </c>
      <c r="O77" s="1">
        <v>1.429</v>
      </c>
      <c r="P77" s="1">
        <v>1.4430000000000001</v>
      </c>
      <c r="Q77" s="1">
        <v>0.39500000000000002</v>
      </c>
      <c r="R77" s="1">
        <f t="shared" si="1"/>
        <v>0.30509834480049214</v>
      </c>
      <c r="S77" s="1">
        <v>43.6</v>
      </c>
      <c r="T77" s="1">
        <v>30.1</v>
      </c>
      <c r="U77" s="1">
        <v>157.9</v>
      </c>
      <c r="V77" s="1">
        <v>35.299999999999997</v>
      </c>
      <c r="W77" s="1">
        <v>284.39999999999998</v>
      </c>
      <c r="X77" s="1">
        <v>40.1</v>
      </c>
    </row>
    <row r="78" spans="1:24" ht="16">
      <c r="A78" s="3">
        <v>20</v>
      </c>
      <c r="B78" s="1" t="s">
        <v>23</v>
      </c>
      <c r="C78" s="1" t="s">
        <v>105</v>
      </c>
      <c r="D78" s="1" t="s">
        <v>25</v>
      </c>
      <c r="E78" s="1" t="s">
        <v>26</v>
      </c>
      <c r="F78" s="1">
        <v>252041</v>
      </c>
      <c r="G78" s="1">
        <v>2565354</v>
      </c>
      <c r="H78" s="4">
        <v>21.248260240039947</v>
      </c>
      <c r="I78" s="2">
        <v>3.349E-3</v>
      </c>
      <c r="J78" s="2">
        <v>2.9919999999999999E-3</v>
      </c>
      <c r="K78" s="2">
        <v>2.4689999999999998E-3</v>
      </c>
      <c r="L78" s="2">
        <v>2.9369999999999999E-3</v>
      </c>
      <c r="M78" s="1">
        <v>1.212</v>
      </c>
      <c r="N78" s="1">
        <v>1.119</v>
      </c>
      <c r="O78" s="1">
        <v>1.3560000000000001</v>
      </c>
      <c r="P78" s="1">
        <v>1.361</v>
      </c>
      <c r="Q78" s="1">
        <v>0.26100000000000001</v>
      </c>
      <c r="R78" s="1">
        <f t="shared" si="1"/>
        <v>0.24311519903124112</v>
      </c>
      <c r="S78" s="1">
        <v>64.099999999999994</v>
      </c>
      <c r="T78" s="1">
        <v>22.4</v>
      </c>
      <c r="U78" s="1">
        <v>161.4</v>
      </c>
      <c r="V78" s="1">
        <v>17.2</v>
      </c>
      <c r="W78" s="1">
        <v>285.60000000000002</v>
      </c>
      <c r="X78" s="1">
        <v>61.2</v>
      </c>
    </row>
    <row r="79" spans="1:24" ht="16">
      <c r="A79" s="3">
        <v>20</v>
      </c>
      <c r="B79" s="1" t="s">
        <v>23</v>
      </c>
      <c r="C79" s="1" t="s">
        <v>106</v>
      </c>
      <c r="D79" s="1" t="s">
        <v>25</v>
      </c>
      <c r="E79" s="1" t="s">
        <v>26</v>
      </c>
      <c r="F79" s="1">
        <v>252041</v>
      </c>
      <c r="G79" s="1">
        <v>2565354</v>
      </c>
      <c r="H79" s="4">
        <v>21.248260240039947</v>
      </c>
      <c r="I79" s="2">
        <v>3.797E-3</v>
      </c>
      <c r="J79" s="2">
        <v>3.3630000000000001E-3</v>
      </c>
      <c r="K79" s="2">
        <v>2.8119999999999998E-3</v>
      </c>
      <c r="L79" s="2">
        <v>3.3240000000000001E-3</v>
      </c>
      <c r="M79" s="1">
        <v>1.196</v>
      </c>
      <c r="N79" s="1">
        <v>1.129</v>
      </c>
      <c r="O79" s="1">
        <v>1.35</v>
      </c>
      <c r="P79" s="1">
        <v>1.353</v>
      </c>
      <c r="Q79" s="1">
        <v>0.191</v>
      </c>
      <c r="R79" s="1">
        <f t="shared" si="1"/>
        <v>0.23464228092992956</v>
      </c>
      <c r="S79" s="1">
        <v>65.2</v>
      </c>
      <c r="T79" s="1">
        <v>22.1</v>
      </c>
      <c r="U79" s="1">
        <v>163.1</v>
      </c>
      <c r="V79" s="1">
        <v>18.600000000000001</v>
      </c>
      <c r="W79" s="1">
        <v>289.5</v>
      </c>
      <c r="X79" s="1">
        <v>60.5</v>
      </c>
    </row>
    <row r="80" spans="1:24" ht="16">
      <c r="A80" s="3">
        <v>20</v>
      </c>
      <c r="B80" s="1" t="s">
        <v>23</v>
      </c>
      <c r="C80" s="1" t="s">
        <v>107</v>
      </c>
      <c r="D80" s="1" t="s">
        <v>25</v>
      </c>
      <c r="E80" s="1" t="s">
        <v>26</v>
      </c>
      <c r="F80" s="1">
        <v>252041</v>
      </c>
      <c r="G80" s="1">
        <v>2565354</v>
      </c>
      <c r="H80" s="4">
        <v>21.248260240039947</v>
      </c>
      <c r="I80" s="2">
        <v>2.4650000000000002E-3</v>
      </c>
      <c r="J80" s="2">
        <v>2.3029999999999999E-3</v>
      </c>
      <c r="K80" s="2">
        <v>1.9819999999999998E-3</v>
      </c>
      <c r="L80" s="2">
        <v>2.2499999999999998E-3</v>
      </c>
      <c r="M80" s="1">
        <v>1.1619999999999999</v>
      </c>
      <c r="N80" s="1">
        <v>1.07</v>
      </c>
      <c r="O80" s="1">
        <v>1.244</v>
      </c>
      <c r="P80" s="1">
        <v>1.25</v>
      </c>
      <c r="Q80" s="1">
        <v>0.376</v>
      </c>
      <c r="R80" s="1">
        <f t="shared" si="1"/>
        <v>0.17647662734764619</v>
      </c>
      <c r="S80" s="1">
        <v>59.5</v>
      </c>
      <c r="T80" s="1">
        <v>25.5</v>
      </c>
      <c r="U80" s="1">
        <v>159.6</v>
      </c>
      <c r="V80" s="1">
        <v>20.100000000000001</v>
      </c>
      <c r="W80" s="1">
        <v>283.3</v>
      </c>
      <c r="X80" s="1">
        <v>56.6</v>
      </c>
    </row>
    <row r="81" spans="1:24" ht="16">
      <c r="A81" s="3">
        <v>21</v>
      </c>
      <c r="B81" s="1" t="s">
        <v>108</v>
      </c>
      <c r="C81" s="1" t="s">
        <v>109</v>
      </c>
      <c r="D81" s="1" t="s">
        <v>110</v>
      </c>
      <c r="E81" s="1" t="s">
        <v>26</v>
      </c>
      <c r="F81" s="1">
        <v>252371</v>
      </c>
      <c r="G81" s="1">
        <v>2564177</v>
      </c>
      <c r="H81" s="4">
        <v>20.373971856791076</v>
      </c>
      <c r="I81" s="2">
        <v>9.2589999999999999E-3</v>
      </c>
      <c r="J81" s="2">
        <v>7.6049999999999998E-3</v>
      </c>
      <c r="K81" s="2">
        <v>4.5929999999999999E-3</v>
      </c>
      <c r="L81" s="2">
        <v>7.1520000000000004E-3</v>
      </c>
      <c r="M81" s="1">
        <v>1.218</v>
      </c>
      <c r="N81" s="1">
        <v>1.6559999999999999</v>
      </c>
      <c r="O81" s="1">
        <v>2.016</v>
      </c>
      <c r="P81" s="1">
        <v>2.0609999999999999</v>
      </c>
      <c r="Q81" s="1">
        <v>0.438</v>
      </c>
      <c r="R81" s="1">
        <f t="shared" si="1"/>
        <v>0.69127418583366751</v>
      </c>
      <c r="S81" s="1">
        <v>28.8</v>
      </c>
      <c r="T81" s="1">
        <v>19.5</v>
      </c>
      <c r="U81" s="1">
        <v>222.7</v>
      </c>
      <c r="V81" s="1">
        <v>69.900000000000006</v>
      </c>
      <c r="W81" s="1">
        <v>120.4</v>
      </c>
      <c r="X81" s="1">
        <v>4.4000000000000004</v>
      </c>
    </row>
    <row r="82" spans="1:24" ht="16">
      <c r="A82" s="3">
        <v>21</v>
      </c>
      <c r="B82" s="1" t="s">
        <v>108</v>
      </c>
      <c r="C82" s="1" t="s">
        <v>111</v>
      </c>
      <c r="D82" s="1" t="s">
        <v>110</v>
      </c>
      <c r="E82" s="1" t="s">
        <v>26</v>
      </c>
      <c r="F82" s="1">
        <v>252371</v>
      </c>
      <c r="G82" s="1">
        <v>2564177</v>
      </c>
      <c r="H82" s="4">
        <v>20.373971856791076</v>
      </c>
      <c r="I82" s="2">
        <v>9.979E-3</v>
      </c>
      <c r="J82" s="2">
        <v>7.7499999999999999E-3</v>
      </c>
      <c r="K82" s="2">
        <v>4.7169999999999998E-3</v>
      </c>
      <c r="L82" s="2">
        <v>7.4819999999999999E-3</v>
      </c>
      <c r="M82" s="1">
        <v>1.288</v>
      </c>
      <c r="N82" s="1">
        <v>1.643</v>
      </c>
      <c r="O82" s="1">
        <v>2.1160000000000001</v>
      </c>
      <c r="P82" s="1">
        <v>2.1440000000000001</v>
      </c>
      <c r="Q82" s="1">
        <v>0.32500000000000001</v>
      </c>
      <c r="R82" s="1">
        <f t="shared" si="1"/>
        <v>0.70455163047146518</v>
      </c>
      <c r="S82" s="1">
        <v>29.1</v>
      </c>
      <c r="T82" s="1">
        <v>15</v>
      </c>
      <c r="U82" s="1">
        <v>227.2</v>
      </c>
      <c r="V82" s="1">
        <v>74.3</v>
      </c>
      <c r="W82" s="1">
        <v>120.4</v>
      </c>
      <c r="X82" s="1">
        <v>4.7</v>
      </c>
    </row>
    <row r="83" spans="1:24" ht="16">
      <c r="A83" s="3">
        <v>21</v>
      </c>
      <c r="B83" s="1" t="s">
        <v>108</v>
      </c>
      <c r="C83" s="1" t="s">
        <v>112</v>
      </c>
      <c r="D83" s="1" t="s">
        <v>110</v>
      </c>
      <c r="E83" s="1" t="s">
        <v>26</v>
      </c>
      <c r="F83" s="1">
        <v>252371</v>
      </c>
      <c r="G83" s="1">
        <v>2564177</v>
      </c>
      <c r="H83" s="4">
        <v>20.373971856791076</v>
      </c>
      <c r="I83" s="2">
        <v>1.008E-2</v>
      </c>
      <c r="J83" s="2">
        <v>7.6490000000000004E-3</v>
      </c>
      <c r="K83" s="2">
        <v>4.6369999999999996E-3</v>
      </c>
      <c r="L83" s="2">
        <v>7.4539999999999997E-3</v>
      </c>
      <c r="M83" s="1">
        <v>1.3169999999999999</v>
      </c>
      <c r="N83" s="1">
        <v>1.649</v>
      </c>
      <c r="O83" s="1">
        <v>2.173</v>
      </c>
      <c r="P83" s="1">
        <v>2.1970000000000001</v>
      </c>
      <c r="Q83" s="1">
        <v>0.28999999999999998</v>
      </c>
      <c r="R83" s="1">
        <f t="shared" si="1"/>
        <v>0.72228110871045215</v>
      </c>
      <c r="S83" s="1">
        <v>29.9</v>
      </c>
      <c r="T83" s="1">
        <v>14.5</v>
      </c>
      <c r="U83" s="1">
        <v>225.9</v>
      </c>
      <c r="V83" s="1">
        <v>75</v>
      </c>
      <c r="W83" s="1">
        <v>121</v>
      </c>
      <c r="X83" s="1">
        <v>4</v>
      </c>
    </row>
    <row r="84" spans="1:24" ht="16">
      <c r="A84" s="3">
        <v>21</v>
      </c>
      <c r="B84" s="1" t="s">
        <v>108</v>
      </c>
      <c r="C84" s="1" t="s">
        <v>113</v>
      </c>
      <c r="D84" s="1" t="s">
        <v>110</v>
      </c>
      <c r="E84" s="1" t="s">
        <v>26</v>
      </c>
      <c r="F84" s="1">
        <v>252371</v>
      </c>
      <c r="G84" s="1">
        <v>2564177</v>
      </c>
      <c r="H84" s="4">
        <v>20.373971856791076</v>
      </c>
      <c r="I84" s="2">
        <v>1.004E-2</v>
      </c>
      <c r="J84" s="2">
        <v>7.8659999999999997E-3</v>
      </c>
      <c r="K84" s="2">
        <v>4.7739999999999996E-3</v>
      </c>
      <c r="L84" s="2">
        <v>7.561E-3</v>
      </c>
      <c r="M84" s="1">
        <v>1.2769999999999999</v>
      </c>
      <c r="N84" s="1">
        <v>1.6479999999999999</v>
      </c>
      <c r="O84" s="1">
        <v>2.1040000000000001</v>
      </c>
      <c r="P84" s="1">
        <v>2.1339999999999999</v>
      </c>
      <c r="Q84" s="1">
        <v>0.34300000000000003</v>
      </c>
      <c r="R84" s="1">
        <f t="shared" si="1"/>
        <v>0.70472193097703428</v>
      </c>
      <c r="S84" s="1">
        <v>29</v>
      </c>
      <c r="T84" s="1">
        <v>21.2</v>
      </c>
      <c r="U84" s="1">
        <v>216.7</v>
      </c>
      <c r="V84" s="1">
        <v>68.599999999999994</v>
      </c>
      <c r="W84" s="1">
        <v>120.1</v>
      </c>
      <c r="X84" s="1">
        <v>2.6</v>
      </c>
    </row>
    <row r="85" spans="1:24" ht="16">
      <c r="A85" s="3">
        <v>22</v>
      </c>
      <c r="B85" s="1" t="s">
        <v>108</v>
      </c>
      <c r="C85" s="1" t="s">
        <v>114</v>
      </c>
      <c r="D85" s="1" t="s">
        <v>115</v>
      </c>
      <c r="E85" s="1" t="s">
        <v>68</v>
      </c>
      <c r="F85" s="1">
        <v>254016</v>
      </c>
      <c r="G85" s="1">
        <v>2563461</v>
      </c>
      <c r="H85" s="4">
        <v>18.591360067565802</v>
      </c>
      <c r="I85" s="2">
        <v>1.9550000000000001E-3</v>
      </c>
      <c r="J85" s="2">
        <v>1.918E-3</v>
      </c>
      <c r="K85" s="2">
        <v>1.5280000000000001E-3</v>
      </c>
      <c r="L85" s="2">
        <v>1.8E-3</v>
      </c>
      <c r="M85" s="1">
        <v>1.0189999999999999</v>
      </c>
      <c r="N85" s="1">
        <v>1.2549999999999999</v>
      </c>
      <c r="O85" s="1">
        <v>1.2789999999999999</v>
      </c>
      <c r="P85" s="1">
        <v>1.3149999999999999</v>
      </c>
      <c r="Q85" s="1">
        <v>0.84599999999999997</v>
      </c>
      <c r="R85" s="1">
        <f t="shared" si="1"/>
        <v>0.25570686341981502</v>
      </c>
      <c r="S85" s="1">
        <v>229.6</v>
      </c>
      <c r="T85" s="1">
        <v>41.3</v>
      </c>
      <c r="U85" s="1">
        <v>2.9</v>
      </c>
      <c r="V85" s="1">
        <v>38</v>
      </c>
      <c r="W85" s="1">
        <v>114.8</v>
      </c>
      <c r="X85" s="1">
        <v>25.5</v>
      </c>
    </row>
    <row r="86" spans="1:24" ht="16">
      <c r="A86" s="3">
        <v>22</v>
      </c>
      <c r="B86" s="1" t="s">
        <v>108</v>
      </c>
      <c r="C86" s="1" t="s">
        <v>116</v>
      </c>
      <c r="D86" s="1" t="s">
        <v>115</v>
      </c>
      <c r="E86" s="1" t="s">
        <v>68</v>
      </c>
      <c r="F86" s="1">
        <v>254016</v>
      </c>
      <c r="G86" s="1">
        <v>2563461</v>
      </c>
      <c r="H86" s="4">
        <v>18.591360067565802</v>
      </c>
      <c r="I86" s="2">
        <v>1.9580000000000001E-3</v>
      </c>
      <c r="J86" s="2">
        <v>1.923E-3</v>
      </c>
      <c r="K86" s="2">
        <v>1.537E-3</v>
      </c>
      <c r="L86" s="2">
        <v>1.8060000000000001E-3</v>
      </c>
      <c r="M86" s="1">
        <v>1.018</v>
      </c>
      <c r="N86" s="1">
        <v>1.2509999999999999</v>
      </c>
      <c r="O86" s="1">
        <v>1.274</v>
      </c>
      <c r="P86" s="1">
        <v>1.31</v>
      </c>
      <c r="Q86" s="1">
        <v>0.85</v>
      </c>
      <c r="R86" s="1">
        <f t="shared" si="1"/>
        <v>0.2516445906432323</v>
      </c>
      <c r="S86" s="1">
        <v>15.4</v>
      </c>
      <c r="T86" s="1">
        <v>44.7</v>
      </c>
      <c r="U86" s="1">
        <v>224</v>
      </c>
      <c r="V86" s="1">
        <v>41.6</v>
      </c>
      <c r="W86" s="1">
        <v>120.5</v>
      </c>
      <c r="X86" s="1">
        <v>14.7</v>
      </c>
    </row>
    <row r="87" spans="1:24" ht="16">
      <c r="A87" s="3">
        <v>22</v>
      </c>
      <c r="B87" s="1" t="s">
        <v>108</v>
      </c>
      <c r="C87" s="1" t="s">
        <v>117</v>
      </c>
      <c r="D87" s="1" t="s">
        <v>115</v>
      </c>
      <c r="E87" s="1" t="s">
        <v>68</v>
      </c>
      <c r="F87" s="1">
        <v>254016</v>
      </c>
      <c r="G87" s="1">
        <v>2563461</v>
      </c>
      <c r="H87" s="4">
        <v>18.591360067565802</v>
      </c>
      <c r="I87" s="2">
        <v>2.1649999999999998E-3</v>
      </c>
      <c r="J87" s="2">
        <v>2.1280000000000001E-3</v>
      </c>
      <c r="K87" s="2">
        <v>1.717E-3</v>
      </c>
      <c r="L87" s="2">
        <v>2.003E-3</v>
      </c>
      <c r="M87" s="1">
        <v>1.0169999999999999</v>
      </c>
      <c r="N87" s="1">
        <v>1.24</v>
      </c>
      <c r="O87" s="1">
        <v>1.2609999999999999</v>
      </c>
      <c r="P87" s="1">
        <v>1.2949999999999999</v>
      </c>
      <c r="Q87" s="1">
        <v>0.85099999999999998</v>
      </c>
      <c r="R87" s="1">
        <f t="shared" si="1"/>
        <v>0.24060133000463649</v>
      </c>
      <c r="S87" s="1">
        <v>17.100000000000001</v>
      </c>
      <c r="T87" s="1">
        <v>38.5</v>
      </c>
      <c r="U87" s="1">
        <v>227.9</v>
      </c>
      <c r="V87" s="1">
        <v>47.2</v>
      </c>
      <c r="W87" s="1">
        <v>120.1</v>
      </c>
      <c r="X87" s="1">
        <v>15.8</v>
      </c>
    </row>
    <row r="88" spans="1:24" ht="16">
      <c r="A88" s="3">
        <v>22</v>
      </c>
      <c r="B88" s="1" t="s">
        <v>108</v>
      </c>
      <c r="C88" s="1" t="s">
        <v>118</v>
      </c>
      <c r="D88" s="1" t="s">
        <v>115</v>
      </c>
      <c r="E88" s="1" t="s">
        <v>68</v>
      </c>
      <c r="F88" s="1">
        <v>254016</v>
      </c>
      <c r="G88" s="1">
        <v>2563461</v>
      </c>
      <c r="H88" s="4">
        <v>18.591360067565802</v>
      </c>
      <c r="I88" s="2">
        <v>2.0639999999999999E-3</v>
      </c>
      <c r="J88" s="2">
        <v>2.0330000000000001E-3</v>
      </c>
      <c r="K88" s="2">
        <v>1.5969999999999999E-3</v>
      </c>
      <c r="L88" s="2">
        <v>1.8979999999999999E-3</v>
      </c>
      <c r="M88" s="1">
        <v>1.0149999999999999</v>
      </c>
      <c r="N88" s="1">
        <v>1.2729999999999999</v>
      </c>
      <c r="O88" s="1">
        <v>1.292</v>
      </c>
      <c r="P88" s="1">
        <v>1.3340000000000001</v>
      </c>
      <c r="Q88" s="1">
        <v>0.88400000000000001</v>
      </c>
      <c r="R88" s="1">
        <f t="shared" si="1"/>
        <v>0.27341177736154665</v>
      </c>
      <c r="S88" s="1">
        <v>14.8</v>
      </c>
      <c r="T88" s="1">
        <v>38.200000000000003</v>
      </c>
      <c r="U88" s="1">
        <v>232.2</v>
      </c>
      <c r="V88" s="1">
        <v>45.3</v>
      </c>
      <c r="W88" s="1">
        <v>121.1</v>
      </c>
      <c r="X88" s="1">
        <v>19.600000000000001</v>
      </c>
    </row>
    <row r="89" spans="1:24" ht="16">
      <c r="A89" s="3">
        <v>23</v>
      </c>
      <c r="B89" s="1" t="s">
        <v>108</v>
      </c>
      <c r="C89" s="1" t="s">
        <v>119</v>
      </c>
      <c r="D89" s="1" t="s">
        <v>115</v>
      </c>
      <c r="E89" s="1" t="s">
        <v>68</v>
      </c>
      <c r="F89" s="1">
        <v>255474</v>
      </c>
      <c r="G89" s="1">
        <v>2561938</v>
      </c>
      <c r="H89" s="4">
        <v>16.567195028848015</v>
      </c>
      <c r="I89" s="2">
        <v>2.245E-3</v>
      </c>
      <c r="J89" s="2">
        <v>2.202E-3</v>
      </c>
      <c r="K89" s="2">
        <v>1.804E-3</v>
      </c>
      <c r="L89" s="2">
        <v>2.0839999999999999E-3</v>
      </c>
      <c r="M89" s="1">
        <v>1.02</v>
      </c>
      <c r="N89" s="1">
        <v>1.2210000000000001</v>
      </c>
      <c r="O89" s="1">
        <v>1.2450000000000001</v>
      </c>
      <c r="P89" s="1">
        <v>1.274</v>
      </c>
      <c r="Q89" s="1">
        <v>0.82099999999999995</v>
      </c>
      <c r="R89" s="1">
        <f t="shared" si="1"/>
        <v>0.22190313201935666</v>
      </c>
      <c r="S89" s="1">
        <v>57</v>
      </c>
      <c r="T89" s="1">
        <v>8.8000000000000007</v>
      </c>
      <c r="U89" s="1">
        <v>322.39999999999998</v>
      </c>
      <c r="V89" s="1">
        <v>27.6</v>
      </c>
      <c r="W89" s="1">
        <v>163.19999999999999</v>
      </c>
      <c r="X89" s="1">
        <v>60.8</v>
      </c>
    </row>
    <row r="90" spans="1:24" ht="16">
      <c r="A90" s="3">
        <v>23</v>
      </c>
      <c r="B90" s="1" t="s">
        <v>108</v>
      </c>
      <c r="C90" s="1" t="s">
        <v>120</v>
      </c>
      <c r="D90" s="1" t="s">
        <v>115</v>
      </c>
      <c r="E90" s="1" t="s">
        <v>68</v>
      </c>
      <c r="F90" s="1">
        <v>255474</v>
      </c>
      <c r="G90" s="1">
        <v>2561938</v>
      </c>
      <c r="H90" s="4">
        <v>16.567195028848015</v>
      </c>
      <c r="I90" s="2">
        <v>2.4009999999999999E-3</v>
      </c>
      <c r="J90" s="2">
        <v>2.2959999999999999E-3</v>
      </c>
      <c r="K90" s="2">
        <v>1.9759999999999999E-3</v>
      </c>
      <c r="L90" s="2">
        <v>2.2239999999999998E-3</v>
      </c>
      <c r="M90" s="1">
        <v>1.046</v>
      </c>
      <c r="N90" s="1">
        <v>1.1619999999999999</v>
      </c>
      <c r="O90" s="1">
        <v>1.2150000000000001</v>
      </c>
      <c r="P90" s="1">
        <v>1.2270000000000001</v>
      </c>
      <c r="Q90" s="1">
        <v>0.54100000000000004</v>
      </c>
      <c r="R90" s="1">
        <f t="shared" si="1"/>
        <v>0.16840427548016701</v>
      </c>
      <c r="S90" s="1">
        <v>47.2</v>
      </c>
      <c r="T90" s="1">
        <v>16.7</v>
      </c>
      <c r="U90" s="1">
        <v>303.7</v>
      </c>
      <c r="V90" s="1">
        <v>37.799999999999997</v>
      </c>
      <c r="W90" s="1">
        <v>156.30000000000001</v>
      </c>
      <c r="X90" s="1">
        <v>47.4</v>
      </c>
    </row>
    <row r="91" spans="1:24" ht="16">
      <c r="A91" s="3">
        <v>23</v>
      </c>
      <c r="B91" s="1" t="s">
        <v>108</v>
      </c>
      <c r="C91" s="1" t="s">
        <v>121</v>
      </c>
      <c r="D91" s="1" t="s">
        <v>115</v>
      </c>
      <c r="E91" s="1" t="s">
        <v>68</v>
      </c>
      <c r="F91" s="1">
        <v>255474</v>
      </c>
      <c r="G91" s="1">
        <v>2561938</v>
      </c>
      <c r="H91" s="4">
        <v>16.567195028848015</v>
      </c>
      <c r="I91" s="2">
        <v>2.2599999999999999E-3</v>
      </c>
      <c r="J91" s="2">
        <v>2.2269999999999998E-3</v>
      </c>
      <c r="K91" s="2">
        <v>1.7780000000000001E-3</v>
      </c>
      <c r="L91" s="2">
        <v>2.088E-3</v>
      </c>
      <c r="M91" s="1">
        <v>1.0149999999999999</v>
      </c>
      <c r="N91" s="1">
        <v>1.2529999999999999</v>
      </c>
      <c r="O91" s="1">
        <v>1.2709999999999999</v>
      </c>
      <c r="P91" s="1">
        <v>1.3089999999999999</v>
      </c>
      <c r="Q91" s="1">
        <v>0.88</v>
      </c>
      <c r="R91" s="1">
        <f t="shared" si="1"/>
        <v>0.25344427395386138</v>
      </c>
      <c r="S91" s="1">
        <v>73.3</v>
      </c>
      <c r="T91" s="1">
        <v>3.2</v>
      </c>
      <c r="U91" s="1">
        <v>341.9</v>
      </c>
      <c r="V91" s="1">
        <v>25.1</v>
      </c>
      <c r="W91" s="1">
        <v>170.1</v>
      </c>
      <c r="X91" s="1">
        <v>64.7</v>
      </c>
    </row>
    <row r="92" spans="1:24" ht="16">
      <c r="A92" s="3">
        <v>23</v>
      </c>
      <c r="B92" s="1" t="s">
        <v>108</v>
      </c>
      <c r="C92" s="1" t="s">
        <v>122</v>
      </c>
      <c r="D92" s="1" t="s">
        <v>115</v>
      </c>
      <c r="E92" s="1" t="s">
        <v>68</v>
      </c>
      <c r="F92" s="1">
        <v>255474</v>
      </c>
      <c r="G92" s="1">
        <v>2561938</v>
      </c>
      <c r="H92" s="4">
        <v>16.567195028848015</v>
      </c>
      <c r="I92" s="2">
        <v>2.382E-3</v>
      </c>
      <c r="J92" s="2">
        <v>2.2529999999999998E-3</v>
      </c>
      <c r="K92" s="2">
        <v>1.9959999999999999E-3</v>
      </c>
      <c r="L92" s="2">
        <v>2.2100000000000002E-3</v>
      </c>
      <c r="M92" s="1">
        <v>1.0569999999999999</v>
      </c>
      <c r="N92" s="1">
        <v>1.129</v>
      </c>
      <c r="O92" s="1">
        <v>1.1930000000000001</v>
      </c>
      <c r="P92" s="1">
        <v>1.198</v>
      </c>
      <c r="Q92" s="1">
        <v>0.373</v>
      </c>
      <c r="R92" s="1">
        <f t="shared" si="1"/>
        <v>0.14103191128251788</v>
      </c>
      <c r="S92" s="1">
        <v>39.5</v>
      </c>
      <c r="T92" s="1">
        <v>18.600000000000001</v>
      </c>
      <c r="U92" s="1">
        <v>292.2</v>
      </c>
      <c r="V92" s="1">
        <v>41.4</v>
      </c>
      <c r="W92" s="1">
        <v>147.6</v>
      </c>
      <c r="X92" s="1">
        <v>42.7</v>
      </c>
    </row>
    <row r="93" spans="1:24" ht="16">
      <c r="A93" s="3">
        <v>24</v>
      </c>
      <c r="B93" s="1" t="s">
        <v>108</v>
      </c>
      <c r="C93" s="1" t="s">
        <v>123</v>
      </c>
      <c r="D93" s="1" t="s">
        <v>115</v>
      </c>
      <c r="E93" s="1" t="s">
        <v>68</v>
      </c>
      <c r="F93" s="1">
        <v>256667</v>
      </c>
      <c r="G93" s="1">
        <v>2561307</v>
      </c>
      <c r="H93" s="4">
        <v>15.218526722133191</v>
      </c>
      <c r="I93" s="2">
        <v>2.7049999999999999E-3</v>
      </c>
      <c r="J93" s="2">
        <v>2.5530000000000001E-3</v>
      </c>
      <c r="K93" s="2">
        <v>2.4510000000000001E-3</v>
      </c>
      <c r="L93" s="2">
        <v>2.5699999999999998E-3</v>
      </c>
      <c r="M93" s="1">
        <v>1.042</v>
      </c>
      <c r="N93" s="1">
        <v>1.06</v>
      </c>
      <c r="O93" s="1">
        <v>1.1040000000000001</v>
      </c>
      <c r="P93" s="1">
        <v>1.105</v>
      </c>
      <c r="Q93" s="1">
        <v>-0.17299999999999999</v>
      </c>
      <c r="R93" s="1">
        <f t="shared" si="1"/>
        <v>7.3239333694402275E-2</v>
      </c>
      <c r="S93" s="1">
        <v>22.2</v>
      </c>
      <c r="T93" s="1">
        <v>19</v>
      </c>
      <c r="U93" s="1">
        <v>139.80000000000001</v>
      </c>
      <c r="V93" s="1">
        <v>53.3</v>
      </c>
      <c r="W93" s="1">
        <v>280.7</v>
      </c>
      <c r="X93" s="1">
        <v>30.1</v>
      </c>
    </row>
    <row r="94" spans="1:24" ht="16">
      <c r="A94" s="3">
        <v>24</v>
      </c>
      <c r="B94" s="1" t="s">
        <v>108</v>
      </c>
      <c r="C94" s="1" t="s">
        <v>124</v>
      </c>
      <c r="D94" s="1" t="s">
        <v>115</v>
      </c>
      <c r="E94" s="1" t="s">
        <v>68</v>
      </c>
      <c r="F94" s="1">
        <v>256667</v>
      </c>
      <c r="G94" s="1">
        <v>2561307</v>
      </c>
      <c r="H94" s="4">
        <v>15.218526722133191</v>
      </c>
      <c r="I94" s="2">
        <v>2.5690000000000001E-3</v>
      </c>
      <c r="J94" s="2">
        <v>2.4239999999999999E-3</v>
      </c>
      <c r="K94" s="2">
        <v>2.317E-3</v>
      </c>
      <c r="L94" s="2">
        <v>2.4369999999999999E-3</v>
      </c>
      <c r="M94" s="1">
        <v>1.046</v>
      </c>
      <c r="N94" s="1">
        <v>1.06</v>
      </c>
      <c r="O94" s="1">
        <v>1.109</v>
      </c>
      <c r="P94" s="1">
        <v>1.109</v>
      </c>
      <c r="Q94" s="1">
        <v>-0.122</v>
      </c>
      <c r="R94" s="1">
        <f t="shared" si="1"/>
        <v>7.5604232685743261E-2</v>
      </c>
      <c r="S94" s="1">
        <v>26.6</v>
      </c>
      <c r="T94" s="1">
        <v>19.7</v>
      </c>
      <c r="U94" s="1">
        <v>139.30000000000001</v>
      </c>
      <c r="V94" s="1">
        <v>47.2</v>
      </c>
      <c r="W94" s="1">
        <v>281.5</v>
      </c>
      <c r="X94" s="1">
        <v>36.200000000000003</v>
      </c>
    </row>
    <row r="95" spans="1:24" ht="16">
      <c r="A95" s="3">
        <v>24</v>
      </c>
      <c r="B95" s="1" t="s">
        <v>108</v>
      </c>
      <c r="C95" s="1" t="s">
        <v>125</v>
      </c>
      <c r="D95" s="1" t="s">
        <v>115</v>
      </c>
      <c r="E95" s="1" t="s">
        <v>68</v>
      </c>
      <c r="F95" s="1">
        <v>256667</v>
      </c>
      <c r="G95" s="1">
        <v>2561307</v>
      </c>
      <c r="H95" s="4">
        <v>15.218526722133191</v>
      </c>
      <c r="I95" s="2">
        <v>2.2759999999999998E-3</v>
      </c>
      <c r="J95" s="2">
        <v>2.15E-3</v>
      </c>
      <c r="K95" s="2">
        <v>2.0630000000000002E-3</v>
      </c>
      <c r="L95" s="2">
        <v>2.163E-3</v>
      </c>
      <c r="M95" s="1">
        <v>1.042</v>
      </c>
      <c r="N95" s="1">
        <v>1.0589999999999999</v>
      </c>
      <c r="O95" s="1">
        <v>1.1040000000000001</v>
      </c>
      <c r="P95" s="1">
        <v>1.1040000000000001</v>
      </c>
      <c r="Q95" s="1">
        <v>-0.16</v>
      </c>
      <c r="R95" s="1">
        <f t="shared" si="1"/>
        <v>7.2422372233999596E-2</v>
      </c>
      <c r="S95" s="1">
        <v>22.6</v>
      </c>
      <c r="T95" s="1">
        <v>21</v>
      </c>
      <c r="U95" s="1">
        <v>138.69999999999999</v>
      </c>
      <c r="V95" s="1">
        <v>48.9</v>
      </c>
      <c r="W95" s="1">
        <v>277.89999999999998</v>
      </c>
      <c r="X95" s="1">
        <v>33.5</v>
      </c>
    </row>
    <row r="96" spans="1:24" ht="16">
      <c r="A96" s="3">
        <v>24</v>
      </c>
      <c r="B96" s="1" t="s">
        <v>108</v>
      </c>
      <c r="C96" s="1" t="s">
        <v>126</v>
      </c>
      <c r="D96" s="1" t="s">
        <v>115</v>
      </c>
      <c r="E96" s="1" t="s">
        <v>68</v>
      </c>
      <c r="F96" s="1">
        <v>256667</v>
      </c>
      <c r="G96" s="1">
        <v>2561307</v>
      </c>
      <c r="H96" s="4">
        <v>15.218526722133191</v>
      </c>
      <c r="I96" s="2">
        <v>2.7139999999999998E-3</v>
      </c>
      <c r="J96" s="2">
        <v>2.5479999999999999E-3</v>
      </c>
      <c r="K96" s="2">
        <v>2.441E-3</v>
      </c>
      <c r="L96" s="2">
        <v>2.568E-3</v>
      </c>
      <c r="M96" s="1">
        <v>1.044</v>
      </c>
      <c r="N96" s="1">
        <v>1.0649999999999999</v>
      </c>
      <c r="O96" s="1">
        <v>1.1120000000000001</v>
      </c>
      <c r="P96" s="1">
        <v>1.1120000000000001</v>
      </c>
      <c r="Q96" s="1">
        <v>-0.187</v>
      </c>
      <c r="R96" s="1">
        <f t="shared" si="1"/>
        <v>7.8492037812761595E-2</v>
      </c>
      <c r="S96" s="1">
        <v>28.3</v>
      </c>
      <c r="T96" s="1">
        <v>24.6</v>
      </c>
      <c r="U96" s="1">
        <v>148.9</v>
      </c>
      <c r="V96" s="1">
        <v>48.1</v>
      </c>
      <c r="W96" s="1">
        <v>281.89999999999998</v>
      </c>
      <c r="X96" s="1">
        <v>31.5</v>
      </c>
    </row>
    <row r="97" spans="1:24" ht="16">
      <c r="A97" s="3">
        <v>25</v>
      </c>
      <c r="B97" s="1" t="s">
        <v>108</v>
      </c>
      <c r="C97" s="1" t="s">
        <v>127</v>
      </c>
      <c r="D97" s="1" t="s">
        <v>81</v>
      </c>
      <c r="E97" s="1" t="s">
        <v>68</v>
      </c>
      <c r="F97" s="1">
        <v>258771.66800000001</v>
      </c>
      <c r="G97" s="1">
        <v>2559787.5269999998</v>
      </c>
      <c r="H97" s="4">
        <v>12.63609426760099</v>
      </c>
      <c r="I97" s="2">
        <v>4.8170000000000001E-3</v>
      </c>
      <c r="J97" s="2">
        <v>3.722E-3</v>
      </c>
      <c r="K97" s="2">
        <v>2.7169999999999998E-3</v>
      </c>
      <c r="L97" s="2">
        <v>3.7520000000000001E-3</v>
      </c>
      <c r="M97" s="1">
        <v>1.294</v>
      </c>
      <c r="N97" s="1">
        <v>1.37</v>
      </c>
      <c r="O97" s="1">
        <v>1.7729999999999999</v>
      </c>
      <c r="P97" s="1">
        <v>1.7749999999999999</v>
      </c>
      <c r="Q97" s="1">
        <v>0.1</v>
      </c>
      <c r="R97" s="1">
        <f t="shared" si="1"/>
        <v>0.47258438399930236</v>
      </c>
      <c r="S97" s="1">
        <v>357.7</v>
      </c>
      <c r="T97" s="1">
        <v>43.6</v>
      </c>
      <c r="U97" s="1">
        <v>234.4</v>
      </c>
      <c r="V97" s="1">
        <v>30</v>
      </c>
      <c r="W97" s="1">
        <v>123.6</v>
      </c>
      <c r="X97" s="1">
        <v>31.6</v>
      </c>
    </row>
    <row r="98" spans="1:24" ht="16">
      <c r="A98" s="3">
        <v>25</v>
      </c>
      <c r="B98" s="1" t="s">
        <v>108</v>
      </c>
      <c r="C98" s="1" t="s">
        <v>128</v>
      </c>
      <c r="D98" s="1" t="s">
        <v>81</v>
      </c>
      <c r="E98" s="1" t="s">
        <v>68</v>
      </c>
      <c r="F98" s="1">
        <v>258771.66800000001</v>
      </c>
      <c r="G98" s="1">
        <v>2559787.5269999998</v>
      </c>
      <c r="H98" s="4">
        <v>12.63609426760099</v>
      </c>
      <c r="I98" s="2">
        <v>6.2769999999999996E-3</v>
      </c>
      <c r="J98" s="2">
        <v>4.7270000000000003E-3</v>
      </c>
      <c r="K98" s="2">
        <v>3.3500000000000001E-3</v>
      </c>
      <c r="L98" s="2">
        <v>4.7850000000000002E-3</v>
      </c>
      <c r="M98" s="1">
        <v>1.3280000000000001</v>
      </c>
      <c r="N98" s="1">
        <v>1.411</v>
      </c>
      <c r="O98" s="1">
        <v>1.8740000000000001</v>
      </c>
      <c r="P98" s="1">
        <v>1.8759999999999999</v>
      </c>
      <c r="Q98" s="1">
        <v>9.7000000000000003E-2</v>
      </c>
      <c r="R98" s="1">
        <f t="shared" si="1"/>
        <v>0.52583742734803507</v>
      </c>
      <c r="S98" s="1">
        <v>356</v>
      </c>
      <c r="T98" s="1">
        <v>44.3</v>
      </c>
      <c r="U98" s="1">
        <v>232.1</v>
      </c>
      <c r="V98" s="1">
        <v>29.7</v>
      </c>
      <c r="W98" s="1">
        <v>122</v>
      </c>
      <c r="X98" s="1">
        <v>31.1</v>
      </c>
    </row>
    <row r="99" spans="1:24" ht="16">
      <c r="A99" s="3">
        <v>25</v>
      </c>
      <c r="B99" s="1" t="s">
        <v>108</v>
      </c>
      <c r="C99" s="1" t="s">
        <v>129</v>
      </c>
      <c r="D99" s="1" t="s">
        <v>81</v>
      </c>
      <c r="E99" s="1" t="s">
        <v>68</v>
      </c>
      <c r="F99" s="1">
        <v>258771.66800000001</v>
      </c>
      <c r="G99" s="1">
        <v>2559787.5269999998</v>
      </c>
      <c r="H99" s="4">
        <v>12.63609426760099</v>
      </c>
      <c r="I99" s="2">
        <v>5.9630000000000004E-3</v>
      </c>
      <c r="J99" s="2">
        <v>4.5719999999999997E-3</v>
      </c>
      <c r="K99" s="2">
        <v>3.3319999999999999E-3</v>
      </c>
      <c r="L99" s="2">
        <v>4.6220000000000002E-3</v>
      </c>
      <c r="M99" s="1">
        <v>1.304</v>
      </c>
      <c r="N99" s="1">
        <v>1.3720000000000001</v>
      </c>
      <c r="O99" s="1">
        <v>1.79</v>
      </c>
      <c r="P99" s="1">
        <v>1.7909999999999999</v>
      </c>
      <c r="Q99" s="1">
        <v>8.6999999999999994E-2</v>
      </c>
      <c r="R99" s="1">
        <f t="shared" si="1"/>
        <v>0.48041648597857267</v>
      </c>
      <c r="S99" s="1">
        <v>353.5</v>
      </c>
      <c r="T99" s="1">
        <v>45.8</v>
      </c>
      <c r="U99" s="1">
        <v>231.4</v>
      </c>
      <c r="V99" s="1">
        <v>27.3</v>
      </c>
      <c r="W99" s="1">
        <v>122.8</v>
      </c>
      <c r="X99" s="1">
        <v>31.6</v>
      </c>
    </row>
    <row r="100" spans="1:24" ht="16">
      <c r="A100" s="3">
        <v>26</v>
      </c>
      <c r="B100" s="1" t="s">
        <v>108</v>
      </c>
      <c r="C100" s="1" t="s">
        <v>130</v>
      </c>
      <c r="D100" s="1" t="s">
        <v>115</v>
      </c>
      <c r="E100" s="1" t="s">
        <v>68</v>
      </c>
      <c r="F100" s="1">
        <v>260148</v>
      </c>
      <c r="G100" s="1">
        <v>2559998</v>
      </c>
      <c r="H100" s="4">
        <v>11.549392291559613</v>
      </c>
      <c r="I100" s="2">
        <v>5.6429999999999996E-3</v>
      </c>
      <c r="J100" s="2">
        <v>5.5950000000000001E-3</v>
      </c>
      <c r="K100" s="2">
        <v>4.9189999999999998E-3</v>
      </c>
      <c r="L100" s="2">
        <v>5.385E-3</v>
      </c>
      <c r="M100" s="1">
        <v>1.1379999999999999</v>
      </c>
      <c r="N100" s="1">
        <v>1.0089999999999999</v>
      </c>
      <c r="O100" s="1">
        <v>1.147</v>
      </c>
      <c r="P100" s="1">
        <v>1.1659999999999999</v>
      </c>
      <c r="Q100" s="1">
        <v>0.876</v>
      </c>
      <c r="R100" s="1">
        <f t="shared" si="1"/>
        <v>0.13829316685939322</v>
      </c>
      <c r="S100" s="1">
        <v>325.39999999999998</v>
      </c>
      <c r="T100" s="1">
        <v>40.9</v>
      </c>
      <c r="U100" s="1">
        <v>216</v>
      </c>
      <c r="V100" s="1">
        <v>21</v>
      </c>
      <c r="W100" s="1">
        <v>106</v>
      </c>
      <c r="X100" s="1">
        <v>41.7</v>
      </c>
    </row>
    <row r="101" spans="1:24" ht="16">
      <c r="A101" s="3">
        <v>26</v>
      </c>
      <c r="B101" s="1" t="s">
        <v>108</v>
      </c>
      <c r="C101" s="1" t="s">
        <v>131</v>
      </c>
      <c r="D101" s="1" t="s">
        <v>115</v>
      </c>
      <c r="E101" s="1" t="s">
        <v>68</v>
      </c>
      <c r="F101" s="1">
        <v>260148</v>
      </c>
      <c r="G101" s="1">
        <v>2559998</v>
      </c>
      <c r="H101" s="4">
        <v>11.549392291559613</v>
      </c>
      <c r="I101" s="2">
        <v>6.3810000000000004E-3</v>
      </c>
      <c r="J101" s="2">
        <v>6.2870000000000001E-3</v>
      </c>
      <c r="K101" s="2">
        <v>5.5799999999999999E-3</v>
      </c>
      <c r="L101" s="2">
        <v>6.0819999999999997E-3</v>
      </c>
      <c r="M101" s="1">
        <v>1.127</v>
      </c>
      <c r="N101" s="1">
        <v>1.0149999999999999</v>
      </c>
      <c r="O101" s="1">
        <v>1.1439999999999999</v>
      </c>
      <c r="P101" s="1">
        <v>1.1579999999999999</v>
      </c>
      <c r="Q101" s="1">
        <v>0.77800000000000002</v>
      </c>
      <c r="R101" s="1">
        <f t="shared" si="1"/>
        <v>0.1278827588066507</v>
      </c>
      <c r="S101" s="1">
        <v>317.3</v>
      </c>
      <c r="T101" s="1">
        <v>47.2</v>
      </c>
      <c r="U101" s="1">
        <v>214</v>
      </c>
      <c r="V101" s="1">
        <v>11.9</v>
      </c>
      <c r="W101" s="1">
        <v>113.7</v>
      </c>
      <c r="X101" s="1">
        <v>40.299999999999997</v>
      </c>
    </row>
    <row r="102" spans="1:24" ht="16">
      <c r="A102" s="3">
        <v>26</v>
      </c>
      <c r="B102" s="1" t="s">
        <v>108</v>
      </c>
      <c r="C102" s="1" t="s">
        <v>132</v>
      </c>
      <c r="D102" s="1" t="s">
        <v>115</v>
      </c>
      <c r="E102" s="1" t="s">
        <v>68</v>
      </c>
      <c r="F102" s="1">
        <v>260148</v>
      </c>
      <c r="G102" s="1">
        <v>2559998</v>
      </c>
      <c r="H102" s="4">
        <v>11.549392291559613</v>
      </c>
      <c r="I102" s="2">
        <v>5.3039999999999997E-3</v>
      </c>
      <c r="J102" s="2">
        <v>5.2500000000000003E-3</v>
      </c>
      <c r="K102" s="2">
        <v>4.6049999999999997E-3</v>
      </c>
      <c r="L102" s="2">
        <v>5.0530000000000002E-3</v>
      </c>
      <c r="M102" s="1">
        <v>1.1399999999999999</v>
      </c>
      <c r="N102" s="1">
        <v>1.01</v>
      </c>
      <c r="O102" s="1">
        <v>1.1519999999999999</v>
      </c>
      <c r="P102" s="1">
        <v>1.171</v>
      </c>
      <c r="Q102" s="1">
        <v>0.85599999999999998</v>
      </c>
      <c r="R102" s="1">
        <f t="shared" si="1"/>
        <v>0.14035668847618191</v>
      </c>
      <c r="S102" s="1">
        <v>329.9</v>
      </c>
      <c r="T102" s="1">
        <v>38.799999999999997</v>
      </c>
      <c r="U102" s="1">
        <v>219.6</v>
      </c>
      <c r="V102" s="1">
        <v>23.3</v>
      </c>
      <c r="W102" s="1">
        <v>106.7</v>
      </c>
      <c r="X102" s="1">
        <v>42.2</v>
      </c>
    </row>
    <row r="103" spans="1:24" ht="16">
      <c r="A103" s="3">
        <v>26</v>
      </c>
      <c r="B103" s="1" t="s">
        <v>108</v>
      </c>
      <c r="C103" s="1" t="s">
        <v>133</v>
      </c>
      <c r="D103" s="1" t="s">
        <v>115</v>
      </c>
      <c r="E103" s="1" t="s">
        <v>68</v>
      </c>
      <c r="F103" s="1">
        <v>260148</v>
      </c>
      <c r="G103" s="1">
        <v>2559998</v>
      </c>
      <c r="H103" s="4">
        <v>11.549392291559613</v>
      </c>
      <c r="I103" s="2">
        <v>5.3569999999999998E-3</v>
      </c>
      <c r="J103" s="2">
        <v>5.313E-3</v>
      </c>
      <c r="K103" s="2">
        <v>4.6629999999999996E-3</v>
      </c>
      <c r="L103" s="2">
        <v>5.1110000000000001E-3</v>
      </c>
      <c r="M103" s="1">
        <v>1.1399999999999999</v>
      </c>
      <c r="N103" s="1">
        <v>1.008</v>
      </c>
      <c r="O103" s="1">
        <v>1.149</v>
      </c>
      <c r="P103" s="1">
        <v>1.169</v>
      </c>
      <c r="Q103" s="1">
        <v>0.88200000000000001</v>
      </c>
      <c r="R103" s="1">
        <f t="shared" si="1"/>
        <v>0.14022838514366473</v>
      </c>
      <c r="S103" s="1">
        <v>344.1</v>
      </c>
      <c r="T103" s="1">
        <v>34.799999999999997</v>
      </c>
      <c r="U103" s="1">
        <v>229.4</v>
      </c>
      <c r="V103" s="1">
        <v>30.9</v>
      </c>
      <c r="W103" s="1">
        <v>109.4</v>
      </c>
      <c r="X103" s="1">
        <v>39.799999999999997</v>
      </c>
    </row>
    <row r="104" spans="1:24" ht="16">
      <c r="A104" s="3">
        <v>27</v>
      </c>
      <c r="B104" s="1" t="s">
        <v>108</v>
      </c>
      <c r="C104" s="1" t="s">
        <v>134</v>
      </c>
      <c r="D104" s="1" t="s">
        <v>115</v>
      </c>
      <c r="E104" s="1" t="s">
        <v>135</v>
      </c>
      <c r="F104" s="1">
        <v>259660</v>
      </c>
      <c r="G104" s="1">
        <v>2557001</v>
      </c>
      <c r="H104" s="4">
        <v>10.47351268860635</v>
      </c>
      <c r="I104" s="2">
        <v>7.835E-3</v>
      </c>
      <c r="J104" s="2">
        <v>5.6839999999999998E-3</v>
      </c>
      <c r="K104" s="2">
        <v>3.8509999999999998E-3</v>
      </c>
      <c r="L104" s="2">
        <v>5.79E-3</v>
      </c>
      <c r="M104" s="1">
        <v>1.379</v>
      </c>
      <c r="N104" s="1">
        <v>1.476</v>
      </c>
      <c r="O104" s="1">
        <v>2.0350000000000001</v>
      </c>
      <c r="P104" s="1">
        <v>2.0369999999999999</v>
      </c>
      <c r="Q104" s="1">
        <v>9.6000000000000002E-2</v>
      </c>
      <c r="R104" s="1">
        <f t="shared" si="1"/>
        <v>0.60845459978539074</v>
      </c>
      <c r="S104" s="1">
        <v>28.5</v>
      </c>
      <c r="T104" s="1">
        <v>19.899999999999999</v>
      </c>
      <c r="U104" s="1">
        <v>265.60000000000002</v>
      </c>
      <c r="V104" s="1">
        <v>56.3</v>
      </c>
      <c r="W104" s="1">
        <v>128.6</v>
      </c>
      <c r="X104" s="1">
        <v>26</v>
      </c>
    </row>
    <row r="105" spans="1:24" ht="16">
      <c r="A105" s="3">
        <v>27</v>
      </c>
      <c r="B105" s="1" t="s">
        <v>108</v>
      </c>
      <c r="C105" s="1" t="s">
        <v>136</v>
      </c>
      <c r="D105" s="1" t="s">
        <v>115</v>
      </c>
      <c r="E105" s="1" t="s">
        <v>135</v>
      </c>
      <c r="F105" s="1">
        <v>259660</v>
      </c>
      <c r="G105" s="1">
        <v>2557001</v>
      </c>
      <c r="H105" s="4">
        <v>10.47351268860635</v>
      </c>
      <c r="I105" s="2">
        <v>8.404E-3</v>
      </c>
      <c r="J105" s="2">
        <v>5.1659999999999996E-3</v>
      </c>
      <c r="K105" s="2">
        <v>3.2450000000000001E-3</v>
      </c>
      <c r="L105" s="2">
        <v>5.6049999999999997E-3</v>
      </c>
      <c r="M105" s="1">
        <v>1.627</v>
      </c>
      <c r="N105" s="1">
        <v>1.5920000000000001</v>
      </c>
      <c r="O105" s="1">
        <v>2.59</v>
      </c>
      <c r="P105" s="1">
        <v>2.59</v>
      </c>
      <c r="Q105" s="1">
        <v>-2.3E-2</v>
      </c>
      <c r="R105" s="1">
        <f t="shared" si="1"/>
        <v>0.86231838667629035</v>
      </c>
      <c r="S105" s="1">
        <v>21.2</v>
      </c>
      <c r="T105" s="1">
        <v>30.6</v>
      </c>
      <c r="U105" s="1">
        <v>252.1</v>
      </c>
      <c r="V105" s="1">
        <v>46.9</v>
      </c>
      <c r="W105" s="1">
        <v>128.9</v>
      </c>
      <c r="X105" s="1">
        <v>27.2</v>
      </c>
    </row>
    <row r="106" spans="1:24" ht="16">
      <c r="A106" s="3">
        <v>27</v>
      </c>
      <c r="B106" s="1" t="s">
        <v>108</v>
      </c>
      <c r="C106" s="1" t="s">
        <v>137</v>
      </c>
      <c r="D106" s="1" t="s">
        <v>115</v>
      </c>
      <c r="E106" s="1" t="s">
        <v>135</v>
      </c>
      <c r="F106" s="1">
        <v>259660</v>
      </c>
      <c r="G106" s="1">
        <v>2557001</v>
      </c>
      <c r="H106" s="4">
        <v>10.47351268860635</v>
      </c>
      <c r="I106" s="2">
        <v>7.3889999999999997E-3</v>
      </c>
      <c r="J106" s="2">
        <v>4.5760000000000002E-3</v>
      </c>
      <c r="K106" s="2">
        <v>2.8449999999999999E-3</v>
      </c>
      <c r="L106" s="2">
        <v>4.9360000000000003E-3</v>
      </c>
      <c r="M106" s="1">
        <v>1.615</v>
      </c>
      <c r="N106" s="1">
        <v>1.609</v>
      </c>
      <c r="O106" s="1">
        <v>2.5979999999999999</v>
      </c>
      <c r="P106" s="1">
        <v>2.5979999999999999</v>
      </c>
      <c r="Q106" s="1">
        <v>-4.0000000000000001E-3</v>
      </c>
      <c r="R106" s="1">
        <f t="shared" si="1"/>
        <v>0.86550909873900228</v>
      </c>
      <c r="S106" s="1">
        <v>22.4</v>
      </c>
      <c r="T106" s="1">
        <v>27</v>
      </c>
      <c r="U106" s="1">
        <v>259</v>
      </c>
      <c r="V106" s="1">
        <v>47.2</v>
      </c>
      <c r="W106" s="1">
        <v>129.80000000000001</v>
      </c>
      <c r="X106" s="1">
        <v>30.3</v>
      </c>
    </row>
    <row r="107" spans="1:24" ht="16">
      <c r="A107" s="3">
        <v>28</v>
      </c>
      <c r="B107" s="1" t="s">
        <v>108</v>
      </c>
      <c r="C107" s="1" t="s">
        <v>138</v>
      </c>
      <c r="D107" s="1" t="s">
        <v>115</v>
      </c>
      <c r="E107" s="1" t="s">
        <v>68</v>
      </c>
      <c r="F107" s="1">
        <v>261894</v>
      </c>
      <c r="G107" s="1">
        <v>2560399</v>
      </c>
      <c r="H107" s="4">
        <v>10.237811936551855</v>
      </c>
      <c r="I107" s="2">
        <v>1.92E-3</v>
      </c>
      <c r="J107" s="2">
        <v>1.6100000000000001E-3</v>
      </c>
      <c r="K107" s="2">
        <v>1.39E-3</v>
      </c>
      <c r="L107" s="2">
        <v>1.64E-3</v>
      </c>
      <c r="M107" s="1">
        <v>1.19</v>
      </c>
      <c r="N107" s="1">
        <v>1.1579999999999999</v>
      </c>
      <c r="O107" s="1">
        <v>1.3779999999999999</v>
      </c>
      <c r="P107" s="1">
        <v>1.3779999999999999</v>
      </c>
      <c r="Q107" s="1">
        <v>-8.4000000000000005E-2</v>
      </c>
      <c r="R107" s="1">
        <f t="shared" si="1"/>
        <v>0.2471113109511581</v>
      </c>
      <c r="S107" s="1">
        <v>221.9</v>
      </c>
      <c r="T107" s="1">
        <v>13</v>
      </c>
      <c r="U107" s="1">
        <v>4.5999999999999996</v>
      </c>
      <c r="V107" s="1">
        <v>73.8</v>
      </c>
      <c r="W107" s="1">
        <v>129.69999999999999</v>
      </c>
      <c r="X107" s="1">
        <v>9.5</v>
      </c>
    </row>
    <row r="108" spans="1:24" ht="16">
      <c r="A108" s="3">
        <v>28</v>
      </c>
      <c r="B108" s="1" t="s">
        <v>108</v>
      </c>
      <c r="C108" s="1" t="s">
        <v>139</v>
      </c>
      <c r="D108" s="1" t="s">
        <v>115</v>
      </c>
      <c r="E108" s="1" t="s">
        <v>68</v>
      </c>
      <c r="F108" s="1">
        <v>261894</v>
      </c>
      <c r="G108" s="1">
        <v>2560399</v>
      </c>
      <c r="H108" s="4">
        <v>10.237811936551855</v>
      </c>
      <c r="I108" s="2">
        <v>2.5500000000000002E-3</v>
      </c>
      <c r="J108" s="2">
        <v>1.8600000000000001E-3</v>
      </c>
      <c r="K108" s="2">
        <v>1.56E-3</v>
      </c>
      <c r="L108" s="2">
        <v>1.99E-3</v>
      </c>
      <c r="M108" s="1">
        <v>1.3740000000000001</v>
      </c>
      <c r="N108" s="1">
        <v>1.194</v>
      </c>
      <c r="O108" s="1">
        <v>1.641</v>
      </c>
      <c r="P108" s="1">
        <v>1.6519999999999999</v>
      </c>
      <c r="Q108" s="1">
        <v>-0.28199999999999997</v>
      </c>
      <c r="R108" s="1">
        <f t="shared" si="1"/>
        <v>0.42132172979802507</v>
      </c>
      <c r="S108" s="1">
        <v>220.7</v>
      </c>
      <c r="T108" s="1">
        <v>13.3</v>
      </c>
      <c r="U108" s="1">
        <v>342.6</v>
      </c>
      <c r="V108" s="1">
        <v>65.8</v>
      </c>
      <c r="W108" s="1">
        <v>125.8</v>
      </c>
      <c r="X108" s="1">
        <v>19.8</v>
      </c>
    </row>
    <row r="109" spans="1:24" ht="16">
      <c r="A109" s="3">
        <v>28</v>
      </c>
      <c r="B109" s="1" t="s">
        <v>108</v>
      </c>
      <c r="C109" s="1" t="s">
        <v>140</v>
      </c>
      <c r="D109" s="1" t="s">
        <v>115</v>
      </c>
      <c r="E109" s="1" t="s">
        <v>68</v>
      </c>
      <c r="F109" s="1">
        <v>261894</v>
      </c>
      <c r="G109" s="1">
        <v>2560399</v>
      </c>
      <c r="H109" s="4">
        <v>10.237811936551855</v>
      </c>
      <c r="I109" s="2">
        <v>4.0600000000000002E-3</v>
      </c>
      <c r="J109" s="2">
        <v>2.6800000000000001E-3</v>
      </c>
      <c r="K109" s="2">
        <v>2.2000000000000001E-3</v>
      </c>
      <c r="L109" s="2">
        <v>2.98E-3</v>
      </c>
      <c r="M109" s="1">
        <v>1.5189999999999999</v>
      </c>
      <c r="N109" s="1">
        <v>1.216</v>
      </c>
      <c r="O109" s="1">
        <v>1.847</v>
      </c>
      <c r="P109" s="1">
        <v>1.8720000000000001</v>
      </c>
      <c r="Q109" s="1">
        <v>-0.36299999999999999</v>
      </c>
      <c r="R109" s="1">
        <f t="shared" si="1"/>
        <v>0.56215389352027068</v>
      </c>
      <c r="S109" s="1">
        <v>220.8</v>
      </c>
      <c r="T109" s="1">
        <v>14</v>
      </c>
      <c r="U109" s="1">
        <v>352.7</v>
      </c>
      <c r="V109" s="1">
        <v>69.5</v>
      </c>
      <c r="W109" s="1">
        <v>127.1</v>
      </c>
      <c r="X109" s="1">
        <v>14.7</v>
      </c>
    </row>
    <row r="110" spans="1:24" ht="16">
      <c r="A110" s="3">
        <v>28</v>
      </c>
      <c r="B110" s="1" t="s">
        <v>108</v>
      </c>
      <c r="C110" s="1" t="s">
        <v>141</v>
      </c>
      <c r="D110" s="1" t="s">
        <v>115</v>
      </c>
      <c r="E110" s="1" t="s">
        <v>68</v>
      </c>
      <c r="F110" s="1">
        <v>261894</v>
      </c>
      <c r="G110" s="1">
        <v>2560399</v>
      </c>
      <c r="H110" s="4">
        <v>10.237811936551855</v>
      </c>
      <c r="I110" s="2">
        <v>3.6099999999999999E-3</v>
      </c>
      <c r="J110" s="2">
        <v>2.5100000000000001E-3</v>
      </c>
      <c r="K110" s="2">
        <v>2.0600000000000002E-3</v>
      </c>
      <c r="L110" s="2">
        <v>2.7200000000000002E-3</v>
      </c>
      <c r="M110" s="1">
        <v>1.4379999999999999</v>
      </c>
      <c r="N110" s="1">
        <v>1.22</v>
      </c>
      <c r="O110" s="1">
        <v>1.7549999999999999</v>
      </c>
      <c r="P110" s="1">
        <v>1.7689999999999999</v>
      </c>
      <c r="Q110" s="1">
        <v>-0.29199999999999998</v>
      </c>
      <c r="R110" s="1">
        <f t="shared" si="1"/>
        <v>0.49014691675047795</v>
      </c>
      <c r="S110" s="1">
        <v>220.8</v>
      </c>
      <c r="T110" s="1">
        <v>11.4</v>
      </c>
      <c r="U110" s="1">
        <v>339.7</v>
      </c>
      <c r="V110" s="1">
        <v>67.400000000000006</v>
      </c>
      <c r="W110" s="1">
        <v>126.7</v>
      </c>
      <c r="X110" s="1">
        <v>19.3</v>
      </c>
    </row>
    <row r="111" spans="1:24" ht="16">
      <c r="A111" s="3">
        <v>28</v>
      </c>
      <c r="B111" s="1" t="s">
        <v>108</v>
      </c>
      <c r="C111" s="1" t="s">
        <v>142</v>
      </c>
      <c r="D111" s="1" t="s">
        <v>115</v>
      </c>
      <c r="E111" s="1" t="s">
        <v>68</v>
      </c>
      <c r="F111" s="1">
        <v>261894</v>
      </c>
      <c r="G111" s="1">
        <v>2560399</v>
      </c>
      <c r="H111" s="4">
        <v>10.237811936551855</v>
      </c>
      <c r="I111" s="2">
        <v>3.1700000000000001E-3</v>
      </c>
      <c r="J111" s="2">
        <v>2.16E-3</v>
      </c>
      <c r="K111" s="2">
        <v>1.6800000000000001E-3</v>
      </c>
      <c r="L111" s="2">
        <v>2.3400000000000001E-3</v>
      </c>
      <c r="M111" s="1">
        <v>1.4690000000000001</v>
      </c>
      <c r="N111" s="1">
        <v>1.288</v>
      </c>
      <c r="O111" s="1">
        <v>1.893</v>
      </c>
      <c r="P111" s="1">
        <v>1.9019999999999999</v>
      </c>
      <c r="Q111" s="1">
        <v>-0.20599999999999999</v>
      </c>
      <c r="R111" s="1">
        <f t="shared" si="1"/>
        <v>0.55036805866619853</v>
      </c>
      <c r="S111" s="1">
        <v>218.5</v>
      </c>
      <c r="T111" s="1">
        <v>8.4</v>
      </c>
      <c r="U111" s="1">
        <v>337.4</v>
      </c>
      <c r="V111" s="1">
        <v>72.900000000000006</v>
      </c>
      <c r="W111" s="1">
        <v>126.3</v>
      </c>
      <c r="X111" s="1">
        <v>14.7</v>
      </c>
    </row>
    <row r="112" spans="1:24" ht="16">
      <c r="A112" s="3">
        <v>29</v>
      </c>
      <c r="B112" s="1" t="s">
        <v>108</v>
      </c>
      <c r="C112" s="1" t="s">
        <v>143</v>
      </c>
      <c r="D112" s="1" t="s">
        <v>115</v>
      </c>
      <c r="E112" s="1" t="s">
        <v>68</v>
      </c>
      <c r="F112" s="1">
        <v>261668</v>
      </c>
      <c r="G112" s="1">
        <v>2559310</v>
      </c>
      <c r="H112" s="4">
        <v>9.8890336778072072</v>
      </c>
      <c r="I112" s="2">
        <v>2.0300000000000001E-3</v>
      </c>
      <c r="J112" s="2">
        <v>1.9400000000000001E-3</v>
      </c>
      <c r="K112" s="2">
        <v>1.75E-3</v>
      </c>
      <c r="L112" s="2">
        <v>1.91E-3</v>
      </c>
      <c r="M112" s="1">
        <v>1.0489999999999999</v>
      </c>
      <c r="N112" s="1">
        <v>1.1100000000000001</v>
      </c>
      <c r="O112" s="1">
        <v>1.1639999999999999</v>
      </c>
      <c r="P112" s="1">
        <v>1.1679999999999999</v>
      </c>
      <c r="Q112" s="1">
        <v>0.372</v>
      </c>
      <c r="R112" s="1">
        <f t="shared" si="1"/>
        <v>0.12042009799032724</v>
      </c>
      <c r="S112" s="1">
        <v>9.9</v>
      </c>
      <c r="T112" s="1">
        <v>37.4</v>
      </c>
      <c r="U112" s="1">
        <v>252.5</v>
      </c>
      <c r="V112" s="1">
        <v>31.1</v>
      </c>
      <c r="W112" s="1">
        <v>135.30000000000001</v>
      </c>
      <c r="X112" s="1">
        <v>37.200000000000003</v>
      </c>
    </row>
    <row r="113" spans="1:24" ht="16">
      <c r="A113" s="3">
        <v>29</v>
      </c>
      <c r="B113" s="1" t="s">
        <v>108</v>
      </c>
      <c r="C113" s="1" t="s">
        <v>144</v>
      </c>
      <c r="D113" s="1" t="s">
        <v>115</v>
      </c>
      <c r="E113" s="1" t="s">
        <v>68</v>
      </c>
      <c r="F113" s="1">
        <v>261668</v>
      </c>
      <c r="G113" s="1">
        <v>2559310</v>
      </c>
      <c r="H113" s="4">
        <v>9.8890336778072072</v>
      </c>
      <c r="I113" s="2">
        <v>2.15E-3</v>
      </c>
      <c r="J113" s="2">
        <v>2.0600000000000002E-3</v>
      </c>
      <c r="K113" s="2">
        <v>1.8400000000000001E-3</v>
      </c>
      <c r="L113" s="2">
        <v>2.0200000000000001E-3</v>
      </c>
      <c r="M113" s="1">
        <v>1.046</v>
      </c>
      <c r="N113" s="1">
        <v>1.1180000000000001</v>
      </c>
      <c r="O113" s="1">
        <v>1.17</v>
      </c>
      <c r="P113" s="1">
        <v>1.175</v>
      </c>
      <c r="Q113" s="1">
        <v>0.42499999999999999</v>
      </c>
      <c r="R113" s="1">
        <f t="shared" si="1"/>
        <v>0.12664912159190062</v>
      </c>
      <c r="S113" s="1">
        <v>10.3</v>
      </c>
      <c r="T113" s="1">
        <v>38.6</v>
      </c>
      <c r="U113" s="1">
        <v>255.1</v>
      </c>
      <c r="V113" s="1">
        <v>28.1</v>
      </c>
      <c r="W113" s="1">
        <v>139.9</v>
      </c>
      <c r="X113" s="1">
        <v>38.6</v>
      </c>
    </row>
    <row r="114" spans="1:24" ht="16">
      <c r="A114" s="3">
        <v>29</v>
      </c>
      <c r="B114" s="1" t="s">
        <v>108</v>
      </c>
      <c r="C114" s="1" t="s">
        <v>145</v>
      </c>
      <c r="D114" s="1" t="s">
        <v>115</v>
      </c>
      <c r="E114" s="1" t="s">
        <v>68</v>
      </c>
      <c r="F114" s="1">
        <v>261668</v>
      </c>
      <c r="G114" s="1">
        <v>2559310</v>
      </c>
      <c r="H114" s="4">
        <v>9.8890336778072072</v>
      </c>
      <c r="I114" s="2">
        <v>2.0500000000000002E-3</v>
      </c>
      <c r="J114" s="2">
        <v>1.9400000000000001E-3</v>
      </c>
      <c r="K114" s="2">
        <v>1.8E-3</v>
      </c>
      <c r="L114" s="2">
        <v>1.9300000000000001E-3</v>
      </c>
      <c r="M114" s="1">
        <v>1.06</v>
      </c>
      <c r="N114" s="1">
        <v>1.0760000000000001</v>
      </c>
      <c r="O114" s="1">
        <v>1.1399999999999999</v>
      </c>
      <c r="P114" s="1">
        <v>1.1399999999999999</v>
      </c>
      <c r="Q114" s="1">
        <v>0.114</v>
      </c>
      <c r="R114" s="1">
        <f t="shared" si="1"/>
        <v>9.6829747495281712E-2</v>
      </c>
      <c r="S114" s="1">
        <v>172.2</v>
      </c>
      <c r="T114" s="1">
        <v>15.6</v>
      </c>
      <c r="U114" s="1">
        <v>72.400000000000006</v>
      </c>
      <c r="V114" s="1">
        <v>31.1</v>
      </c>
      <c r="W114" s="1">
        <v>285.10000000000002</v>
      </c>
      <c r="X114" s="1">
        <v>54.4</v>
      </c>
    </row>
    <row r="115" spans="1:24" ht="16">
      <c r="A115" s="3">
        <v>29</v>
      </c>
      <c r="B115" s="1" t="s">
        <v>108</v>
      </c>
      <c r="C115" s="1" t="s">
        <v>146</v>
      </c>
      <c r="D115" s="1" t="s">
        <v>115</v>
      </c>
      <c r="E115" s="1" t="s">
        <v>68</v>
      </c>
      <c r="F115" s="1">
        <v>261668</v>
      </c>
      <c r="G115" s="1">
        <v>2559310</v>
      </c>
      <c r="H115" s="4">
        <v>9.8890336778072072</v>
      </c>
      <c r="I115" s="2">
        <v>2.0200000000000001E-3</v>
      </c>
      <c r="J115" s="2">
        <v>1.9E-3</v>
      </c>
      <c r="K115" s="2">
        <v>1.7899999999999999E-3</v>
      </c>
      <c r="L115" s="2">
        <v>1.9E-3</v>
      </c>
      <c r="M115" s="1">
        <v>1.0589999999999999</v>
      </c>
      <c r="N115" s="1">
        <v>1.0640000000000001</v>
      </c>
      <c r="O115" s="1">
        <v>1.127</v>
      </c>
      <c r="P115" s="1">
        <v>1.127</v>
      </c>
      <c r="Q115" s="1">
        <v>3.3000000000000002E-2</v>
      </c>
      <c r="R115" s="1">
        <f t="shared" si="1"/>
        <v>8.7045964869142553E-2</v>
      </c>
      <c r="S115" s="1">
        <v>8.1999999999999993</v>
      </c>
      <c r="T115" s="1">
        <v>28</v>
      </c>
      <c r="U115" s="1">
        <v>243.3</v>
      </c>
      <c r="V115" s="1">
        <v>47.1</v>
      </c>
      <c r="W115" s="1">
        <v>115.7</v>
      </c>
      <c r="X115" s="1">
        <v>29.5</v>
      </c>
    </row>
    <row r="116" spans="1:24" ht="16">
      <c r="A116" s="3">
        <v>30</v>
      </c>
      <c r="B116" s="1" t="s">
        <v>108</v>
      </c>
      <c r="C116" s="1" t="s">
        <v>147</v>
      </c>
      <c r="D116" s="1" t="s">
        <v>115</v>
      </c>
      <c r="E116" s="1" t="s">
        <v>135</v>
      </c>
      <c r="F116" s="1">
        <v>260395</v>
      </c>
      <c r="G116" s="1">
        <v>2556930</v>
      </c>
      <c r="H116" s="4">
        <v>9.8014840168247872</v>
      </c>
      <c r="I116" s="2">
        <v>4.2849999999999997E-3</v>
      </c>
      <c r="J116" s="2">
        <v>3.6350000000000002E-3</v>
      </c>
      <c r="K116" s="2">
        <v>2.8969999999999998E-3</v>
      </c>
      <c r="L116" s="2">
        <v>3.6050000000000001E-3</v>
      </c>
      <c r="M116" s="1">
        <v>1.179</v>
      </c>
      <c r="N116" s="1">
        <v>1.2549999999999999</v>
      </c>
      <c r="O116" s="1">
        <v>1.4790000000000001</v>
      </c>
      <c r="P116" s="1">
        <v>1.482</v>
      </c>
      <c r="Q116" s="1">
        <v>0.159</v>
      </c>
      <c r="R116" s="1">
        <f t="shared" si="1"/>
        <v>0.31155416864487617</v>
      </c>
      <c r="S116" s="1">
        <v>233.2</v>
      </c>
      <c r="T116" s="1">
        <v>32.700000000000003</v>
      </c>
      <c r="U116" s="1">
        <v>16.8</v>
      </c>
      <c r="V116" s="1">
        <v>51.4</v>
      </c>
      <c r="W116" s="1">
        <v>131</v>
      </c>
      <c r="X116" s="1">
        <v>18.2</v>
      </c>
    </row>
    <row r="117" spans="1:24" ht="16">
      <c r="A117" s="3">
        <v>30</v>
      </c>
      <c r="B117" s="1" t="s">
        <v>108</v>
      </c>
      <c r="C117" s="1" t="s">
        <v>148</v>
      </c>
      <c r="D117" s="1" t="s">
        <v>115</v>
      </c>
      <c r="E117" s="1" t="s">
        <v>135</v>
      </c>
      <c r="F117" s="1">
        <v>260395</v>
      </c>
      <c r="G117" s="1">
        <v>2556930</v>
      </c>
      <c r="H117" s="4">
        <v>9.8014840168247872</v>
      </c>
      <c r="I117" s="2">
        <v>4.5970000000000004E-3</v>
      </c>
      <c r="J117" s="2">
        <v>3.7669999999999999E-3</v>
      </c>
      <c r="K117" s="2">
        <v>2.9099999999999998E-3</v>
      </c>
      <c r="L117" s="2">
        <v>3.7580000000000001E-3</v>
      </c>
      <c r="M117" s="1">
        <v>1.2210000000000001</v>
      </c>
      <c r="N117" s="1">
        <v>1.294</v>
      </c>
      <c r="O117" s="1">
        <v>1.58</v>
      </c>
      <c r="P117" s="1">
        <v>1.5820000000000001</v>
      </c>
      <c r="Q117" s="1">
        <v>0.128</v>
      </c>
      <c r="R117" s="1">
        <f t="shared" si="1"/>
        <v>0.3678002175094518</v>
      </c>
      <c r="S117" s="1">
        <v>232</v>
      </c>
      <c r="T117" s="1">
        <v>26.5</v>
      </c>
      <c r="U117" s="1">
        <v>15.8</v>
      </c>
      <c r="V117" s="1">
        <v>58.3</v>
      </c>
      <c r="W117" s="1">
        <v>133.69999999999999</v>
      </c>
      <c r="X117" s="1">
        <v>16.2</v>
      </c>
    </row>
    <row r="118" spans="1:24" ht="16">
      <c r="A118" s="3">
        <v>30</v>
      </c>
      <c r="B118" s="1" t="s">
        <v>108</v>
      </c>
      <c r="C118" s="1" t="s">
        <v>149</v>
      </c>
      <c r="D118" s="1" t="s">
        <v>115</v>
      </c>
      <c r="E118" s="1" t="s">
        <v>135</v>
      </c>
      <c r="F118" s="1">
        <v>260395</v>
      </c>
      <c r="G118" s="1">
        <v>2556930</v>
      </c>
      <c r="H118" s="4">
        <v>9.8014840168247872</v>
      </c>
      <c r="I118" s="2">
        <v>4.6690000000000004E-3</v>
      </c>
      <c r="J118" s="2">
        <v>3.8040000000000001E-3</v>
      </c>
      <c r="K118" s="2">
        <v>3.0569999999999998E-3</v>
      </c>
      <c r="L118" s="2">
        <v>3.8430000000000001E-3</v>
      </c>
      <c r="M118" s="1">
        <v>1.2270000000000001</v>
      </c>
      <c r="N118" s="1">
        <v>1.244</v>
      </c>
      <c r="O118" s="1">
        <v>1.5269999999999999</v>
      </c>
      <c r="P118" s="1">
        <v>1.528</v>
      </c>
      <c r="Q118" s="1">
        <v>3.2000000000000001E-2</v>
      </c>
      <c r="R118" s="1">
        <f t="shared" si="1"/>
        <v>0.33326415948913563</v>
      </c>
      <c r="S118" s="1">
        <v>231.4</v>
      </c>
      <c r="T118" s="1">
        <v>30.2</v>
      </c>
      <c r="U118" s="1">
        <v>11.7</v>
      </c>
      <c r="V118" s="1">
        <v>52.9</v>
      </c>
      <c r="W118" s="1">
        <v>129.6</v>
      </c>
      <c r="X118" s="1">
        <v>19.399999999999999</v>
      </c>
    </row>
    <row r="119" spans="1:24" ht="16">
      <c r="A119" s="3">
        <v>31</v>
      </c>
      <c r="B119" s="1" t="s">
        <v>108</v>
      </c>
      <c r="C119" s="1" t="s">
        <v>150</v>
      </c>
      <c r="D119" s="1" t="s">
        <v>115</v>
      </c>
      <c r="E119" s="1" t="s">
        <v>26</v>
      </c>
      <c r="F119" s="1">
        <v>261392</v>
      </c>
      <c r="G119" s="1">
        <v>2558623</v>
      </c>
      <c r="H119" s="4">
        <v>9.7845566892515876</v>
      </c>
      <c r="I119" s="2">
        <v>2.5699999999999998E-3</v>
      </c>
      <c r="J119" s="2">
        <v>2.5400000000000002E-3</v>
      </c>
      <c r="K119" s="2">
        <v>2.2200000000000002E-3</v>
      </c>
      <c r="L119" s="2">
        <v>2.4399999999999999E-3</v>
      </c>
      <c r="M119" s="1">
        <v>1.01</v>
      </c>
      <c r="N119" s="1">
        <v>1.1479999999999999</v>
      </c>
      <c r="O119" s="1">
        <v>1.159</v>
      </c>
      <c r="P119" s="1">
        <v>1.18</v>
      </c>
      <c r="Q119" s="1">
        <v>0.86399999999999999</v>
      </c>
      <c r="R119" s="1">
        <f t="shared" si="1"/>
        <v>0.14833745312630917</v>
      </c>
      <c r="S119" s="1">
        <v>309.2</v>
      </c>
      <c r="T119" s="1">
        <v>48.8</v>
      </c>
      <c r="U119" s="1">
        <v>45.7</v>
      </c>
      <c r="V119" s="1">
        <v>5.6</v>
      </c>
      <c r="W119" s="1">
        <v>140.5</v>
      </c>
      <c r="X119" s="1">
        <v>40.6</v>
      </c>
    </row>
    <row r="120" spans="1:24" ht="16">
      <c r="A120" s="3">
        <v>31</v>
      </c>
      <c r="B120" s="1" t="s">
        <v>108</v>
      </c>
      <c r="C120" s="1" t="s">
        <v>151</v>
      </c>
      <c r="D120" s="1" t="s">
        <v>115</v>
      </c>
      <c r="E120" s="1" t="s">
        <v>26</v>
      </c>
      <c r="F120" s="1">
        <v>261392</v>
      </c>
      <c r="G120" s="1">
        <v>2558623</v>
      </c>
      <c r="H120" s="4">
        <v>9.7845566892515876</v>
      </c>
      <c r="I120" s="2">
        <v>2.82E-3</v>
      </c>
      <c r="J120" s="2">
        <v>2.7799999999999999E-3</v>
      </c>
      <c r="K120" s="2">
        <v>2.3900000000000002E-3</v>
      </c>
      <c r="L120" s="2">
        <v>2.66E-3</v>
      </c>
      <c r="M120" s="1">
        <v>1.0149999999999999</v>
      </c>
      <c r="N120" s="1">
        <v>1.1619999999999999</v>
      </c>
      <c r="O120" s="1">
        <v>1.179</v>
      </c>
      <c r="P120" s="1">
        <v>1.2</v>
      </c>
      <c r="Q120" s="1">
        <v>0.81499999999999995</v>
      </c>
      <c r="R120" s="1">
        <f t="shared" si="1"/>
        <v>0.1626929623554749</v>
      </c>
      <c r="S120" s="1">
        <v>347.2</v>
      </c>
      <c r="T120" s="1">
        <v>53.8</v>
      </c>
      <c r="U120" s="1">
        <v>242.3</v>
      </c>
      <c r="V120" s="1">
        <v>10.7</v>
      </c>
      <c r="W120" s="1">
        <v>145</v>
      </c>
      <c r="X120" s="1">
        <v>34.1</v>
      </c>
    </row>
    <row r="121" spans="1:24" ht="16">
      <c r="A121" s="3">
        <v>31</v>
      </c>
      <c r="B121" s="1" t="s">
        <v>108</v>
      </c>
      <c r="C121" s="1" t="s">
        <v>152</v>
      </c>
      <c r="D121" s="1" t="s">
        <v>115</v>
      </c>
      <c r="E121" s="1" t="s">
        <v>26</v>
      </c>
      <c r="F121" s="1">
        <v>261392</v>
      </c>
      <c r="G121" s="1">
        <v>2558623</v>
      </c>
      <c r="H121" s="4">
        <v>9.7845566892515876</v>
      </c>
      <c r="I121" s="2">
        <v>2.7699999999999999E-3</v>
      </c>
      <c r="J121" s="2">
        <v>2.7299999999999998E-3</v>
      </c>
      <c r="K121" s="2">
        <v>2.3500000000000001E-3</v>
      </c>
      <c r="L121" s="2">
        <v>2.6199999999999999E-3</v>
      </c>
      <c r="M121" s="1">
        <v>1.0129999999999999</v>
      </c>
      <c r="N121" s="1">
        <v>1.1599999999999999</v>
      </c>
      <c r="O121" s="1">
        <v>1.1759999999999999</v>
      </c>
      <c r="P121" s="1">
        <v>1.1970000000000001</v>
      </c>
      <c r="Q121" s="1">
        <v>0.83699999999999997</v>
      </c>
      <c r="R121" s="1">
        <f t="shared" si="1"/>
        <v>0.16052725625263758</v>
      </c>
      <c r="S121" s="1">
        <v>335.3</v>
      </c>
      <c r="T121" s="1">
        <v>50.1</v>
      </c>
      <c r="U121" s="1">
        <v>239.3</v>
      </c>
      <c r="V121" s="1">
        <v>5</v>
      </c>
      <c r="W121" s="1">
        <v>145.1</v>
      </c>
      <c r="X121" s="1">
        <v>39.5</v>
      </c>
    </row>
    <row r="122" spans="1:24" ht="16">
      <c r="A122" s="3">
        <v>31</v>
      </c>
      <c r="B122" s="1" t="s">
        <v>108</v>
      </c>
      <c r="C122" s="1" t="s">
        <v>153</v>
      </c>
      <c r="D122" s="1" t="s">
        <v>115</v>
      </c>
      <c r="E122" s="1" t="s">
        <v>26</v>
      </c>
      <c r="F122" s="1">
        <v>261392</v>
      </c>
      <c r="G122" s="1">
        <v>2558623</v>
      </c>
      <c r="H122" s="4">
        <v>9.7845566892515876</v>
      </c>
      <c r="I122" s="2">
        <v>2.8300000000000001E-3</v>
      </c>
      <c r="J122" s="2">
        <v>2.7699999999999999E-3</v>
      </c>
      <c r="K122" s="2">
        <v>2.3999999999999998E-3</v>
      </c>
      <c r="L122" s="2">
        <v>2.66E-3</v>
      </c>
      <c r="M122" s="1">
        <v>1.022</v>
      </c>
      <c r="N122" s="1">
        <v>1.1539999999999999</v>
      </c>
      <c r="O122" s="1">
        <v>1.179</v>
      </c>
      <c r="P122" s="1">
        <v>1.196</v>
      </c>
      <c r="Q122" s="1">
        <v>0.73599999999999999</v>
      </c>
      <c r="R122" s="1">
        <f t="shared" si="1"/>
        <v>0.15556349186104038</v>
      </c>
      <c r="S122" s="1">
        <v>350.8</v>
      </c>
      <c r="T122" s="1">
        <v>52.4</v>
      </c>
      <c r="U122" s="1">
        <v>245.5</v>
      </c>
      <c r="V122" s="1">
        <v>11.5</v>
      </c>
      <c r="W122" s="1">
        <v>147.19999999999999</v>
      </c>
      <c r="X122" s="1">
        <v>35.200000000000003</v>
      </c>
    </row>
    <row r="123" spans="1:24" ht="16">
      <c r="A123" s="3">
        <v>32</v>
      </c>
      <c r="B123" s="1" t="s">
        <v>108</v>
      </c>
      <c r="C123" s="1" t="s">
        <v>154</v>
      </c>
      <c r="D123" s="1" t="s">
        <v>115</v>
      </c>
      <c r="E123" s="1" t="s">
        <v>135</v>
      </c>
      <c r="F123" s="1">
        <v>261455</v>
      </c>
      <c r="G123" s="1">
        <v>2558310</v>
      </c>
      <c r="H123" s="4">
        <v>9.5734970888132942</v>
      </c>
      <c r="I123" s="2">
        <v>8.2459999999999999E-4</v>
      </c>
      <c r="J123" s="2">
        <v>8.095E-4</v>
      </c>
      <c r="K123" s="2">
        <v>7.1960000000000004E-4</v>
      </c>
      <c r="L123" s="2">
        <v>7.8459999999999999E-4</v>
      </c>
      <c r="M123" s="1">
        <v>1.0189999999999999</v>
      </c>
      <c r="N123" s="1">
        <v>1.125</v>
      </c>
      <c r="O123" s="1">
        <v>1.1459999999999999</v>
      </c>
      <c r="P123" s="1">
        <v>1.159</v>
      </c>
      <c r="Q123" s="1">
        <v>0.72899999999999998</v>
      </c>
      <c r="R123" s="1">
        <f t="shared" si="1"/>
        <v>0.12643575443678895</v>
      </c>
      <c r="S123" s="1">
        <v>218.7</v>
      </c>
      <c r="T123" s="1">
        <v>1.4</v>
      </c>
      <c r="U123" s="1">
        <v>312.60000000000002</v>
      </c>
      <c r="V123" s="1">
        <v>70.7</v>
      </c>
      <c r="W123" s="1">
        <v>128.19999999999999</v>
      </c>
      <c r="X123" s="1">
        <v>19.3</v>
      </c>
    </row>
    <row r="124" spans="1:24" ht="16">
      <c r="A124" s="3">
        <v>32</v>
      </c>
      <c r="B124" s="1" t="s">
        <v>108</v>
      </c>
      <c r="C124" s="1" t="s">
        <v>155</v>
      </c>
      <c r="D124" s="1" t="s">
        <v>115</v>
      </c>
      <c r="E124" s="1" t="s">
        <v>135</v>
      </c>
      <c r="F124" s="1">
        <v>261455</v>
      </c>
      <c r="G124" s="1">
        <v>2558310</v>
      </c>
      <c r="H124" s="4">
        <v>9.5734970888132942</v>
      </c>
      <c r="I124" s="2">
        <v>8.1400000000000005E-4</v>
      </c>
      <c r="J124" s="2">
        <v>8.028E-4</v>
      </c>
      <c r="K124" s="2">
        <v>7.1239999999999997E-4</v>
      </c>
      <c r="L124" s="2">
        <v>7.7640000000000001E-4</v>
      </c>
      <c r="M124" s="1">
        <v>1.014</v>
      </c>
      <c r="N124" s="1">
        <v>1.127</v>
      </c>
      <c r="O124" s="1">
        <v>1.143</v>
      </c>
      <c r="P124" s="1">
        <v>1.1579999999999999</v>
      </c>
      <c r="Q124" s="1">
        <v>0.79200000000000004</v>
      </c>
      <c r="R124" s="1">
        <f t="shared" si="1"/>
        <v>0.12776932339180638</v>
      </c>
      <c r="S124" s="1">
        <v>37.5</v>
      </c>
      <c r="T124" s="1">
        <v>5.0999999999999996</v>
      </c>
      <c r="U124" s="1">
        <v>293.5</v>
      </c>
      <c r="V124" s="1">
        <v>69.900000000000006</v>
      </c>
      <c r="W124" s="1">
        <v>129.30000000000001</v>
      </c>
      <c r="X124" s="1">
        <v>19.399999999999999</v>
      </c>
    </row>
    <row r="125" spans="1:24" ht="16">
      <c r="A125" s="3">
        <v>32</v>
      </c>
      <c r="B125" s="1" t="s">
        <v>108</v>
      </c>
      <c r="C125" s="1" t="s">
        <v>156</v>
      </c>
      <c r="D125" s="1" t="s">
        <v>115</v>
      </c>
      <c r="E125" s="1" t="s">
        <v>135</v>
      </c>
      <c r="F125" s="1">
        <v>261455</v>
      </c>
      <c r="G125" s="1">
        <v>2558310</v>
      </c>
      <c r="H125" s="4">
        <v>9.5734970888132942</v>
      </c>
      <c r="I125" s="2">
        <v>8.8670000000000003E-4</v>
      </c>
      <c r="J125" s="2">
        <v>8.7779999999999998E-4</v>
      </c>
      <c r="K125" s="2">
        <v>7.7689999999999996E-4</v>
      </c>
      <c r="L125" s="2">
        <v>8.4719999999999999E-4</v>
      </c>
      <c r="M125" s="1">
        <v>1.01</v>
      </c>
      <c r="N125" s="1">
        <v>1.1299999999999999</v>
      </c>
      <c r="O125" s="1">
        <v>1.141</v>
      </c>
      <c r="P125" s="1">
        <v>1.1579999999999999</v>
      </c>
      <c r="Q125" s="1">
        <v>0.84699999999999998</v>
      </c>
      <c r="R125" s="1">
        <f t="shared" si="1"/>
        <v>0.13038404810405285</v>
      </c>
      <c r="S125" s="1">
        <v>36.4</v>
      </c>
      <c r="T125" s="1">
        <v>3.7</v>
      </c>
      <c r="U125" s="1">
        <v>298.5</v>
      </c>
      <c r="V125" s="1">
        <v>64.599999999999994</v>
      </c>
      <c r="W125" s="1">
        <v>128.1</v>
      </c>
      <c r="X125" s="1">
        <v>25.1</v>
      </c>
    </row>
    <row r="126" spans="1:24" ht="16">
      <c r="A126" s="3">
        <v>33</v>
      </c>
      <c r="B126" s="1" t="s">
        <v>157</v>
      </c>
      <c r="C126" s="1" t="s">
        <v>158</v>
      </c>
      <c r="D126" s="1" t="s">
        <v>115</v>
      </c>
      <c r="E126" s="1" t="s">
        <v>68</v>
      </c>
      <c r="F126" s="1">
        <v>262154</v>
      </c>
      <c r="G126" s="1">
        <v>2558975</v>
      </c>
      <c r="H126" s="4">
        <v>9.3006453315680186</v>
      </c>
      <c r="I126" s="2">
        <v>5.3200000000000001E-3</v>
      </c>
      <c r="J126" s="2">
        <v>5.2500000000000003E-3</v>
      </c>
      <c r="K126" s="2">
        <v>4.4600000000000004E-3</v>
      </c>
      <c r="L126" s="2">
        <v>5.0099999999999997E-3</v>
      </c>
      <c r="M126" s="1">
        <v>1.012</v>
      </c>
      <c r="N126" s="1">
        <v>1.1779999999999999</v>
      </c>
      <c r="O126" s="1">
        <v>1.1930000000000001</v>
      </c>
      <c r="P126" s="1">
        <v>1.218</v>
      </c>
      <c r="Q126" s="1">
        <v>0.86</v>
      </c>
      <c r="R126" s="1">
        <f t="shared" si="1"/>
        <v>0.17840403582878941</v>
      </c>
      <c r="S126" s="1">
        <v>224.3</v>
      </c>
      <c r="T126" s="1">
        <v>13.1</v>
      </c>
      <c r="U126" s="1">
        <v>342.3</v>
      </c>
      <c r="V126" s="1">
        <v>63.6</v>
      </c>
      <c r="W126" s="1">
        <v>128.69999999999999</v>
      </c>
      <c r="X126" s="1">
        <v>22.4</v>
      </c>
    </row>
    <row r="127" spans="1:24" ht="16">
      <c r="A127" s="3">
        <v>33</v>
      </c>
      <c r="B127" s="1" t="s">
        <v>157</v>
      </c>
      <c r="C127" s="1" t="s">
        <v>159</v>
      </c>
      <c r="D127" s="1" t="s">
        <v>115</v>
      </c>
      <c r="E127" s="1" t="s">
        <v>68</v>
      </c>
      <c r="F127" s="1">
        <v>262154</v>
      </c>
      <c r="G127" s="1">
        <v>2558975</v>
      </c>
      <c r="H127" s="4">
        <v>9.3006453315680186</v>
      </c>
      <c r="I127" s="2">
        <v>5.6899999999999997E-3</v>
      </c>
      <c r="J127" s="2">
        <v>5.62E-3</v>
      </c>
      <c r="K127" s="2">
        <v>4.7499999999999999E-3</v>
      </c>
      <c r="L127" s="2">
        <v>5.3499999999999997E-3</v>
      </c>
      <c r="M127" s="1">
        <v>1.0129999999999999</v>
      </c>
      <c r="N127" s="1">
        <v>1.1850000000000001</v>
      </c>
      <c r="O127" s="1">
        <v>1.2</v>
      </c>
      <c r="P127" s="1">
        <v>1.226</v>
      </c>
      <c r="Q127" s="1">
        <v>0.86099999999999999</v>
      </c>
      <c r="R127" s="1">
        <f t="shared" si="1"/>
        <v>0.18545619428857052</v>
      </c>
      <c r="S127" s="1">
        <v>223.1</v>
      </c>
      <c r="T127" s="1">
        <v>12.5</v>
      </c>
      <c r="U127" s="1">
        <v>337.3</v>
      </c>
      <c r="V127" s="1">
        <v>61.7</v>
      </c>
      <c r="W127" s="1">
        <v>127.1</v>
      </c>
      <c r="X127" s="1">
        <v>25</v>
      </c>
    </row>
    <row r="128" spans="1:24" ht="16">
      <c r="A128" s="3">
        <v>33</v>
      </c>
      <c r="B128" s="1" t="s">
        <v>157</v>
      </c>
      <c r="C128" s="1" t="s">
        <v>160</v>
      </c>
      <c r="D128" s="1" t="s">
        <v>115</v>
      </c>
      <c r="E128" s="1" t="s">
        <v>68</v>
      </c>
      <c r="F128" s="1">
        <v>262154</v>
      </c>
      <c r="G128" s="1">
        <v>2558975</v>
      </c>
      <c r="H128" s="4">
        <v>9.3006453315680186</v>
      </c>
      <c r="I128" s="2">
        <v>5.8399999999999997E-3</v>
      </c>
      <c r="J128" s="2">
        <v>5.77E-3</v>
      </c>
      <c r="K128" s="2">
        <v>4.8700000000000002E-3</v>
      </c>
      <c r="L128" s="2">
        <v>5.4900000000000001E-3</v>
      </c>
      <c r="M128" s="1">
        <v>1.0129999999999999</v>
      </c>
      <c r="N128" s="1">
        <v>1.1830000000000001</v>
      </c>
      <c r="O128" s="1">
        <v>1.198</v>
      </c>
      <c r="P128" s="1">
        <v>1.224</v>
      </c>
      <c r="Q128" s="1">
        <v>0.86</v>
      </c>
      <c r="R128" s="1">
        <f t="shared" si="1"/>
        <v>0.18346116755324549</v>
      </c>
      <c r="S128" s="1">
        <v>225.4</v>
      </c>
      <c r="T128" s="1">
        <v>10.7</v>
      </c>
      <c r="U128" s="1">
        <v>337.7</v>
      </c>
      <c r="V128" s="1">
        <v>63.5</v>
      </c>
      <c r="W128" s="1">
        <v>130.6</v>
      </c>
      <c r="X128" s="1">
        <v>23.9</v>
      </c>
    </row>
    <row r="129" spans="1:24" ht="16">
      <c r="A129" s="3">
        <v>33</v>
      </c>
      <c r="B129" s="1" t="s">
        <v>157</v>
      </c>
      <c r="C129" s="1" t="s">
        <v>161</v>
      </c>
      <c r="D129" s="1" t="s">
        <v>115</v>
      </c>
      <c r="E129" s="1" t="s">
        <v>68</v>
      </c>
      <c r="F129" s="1">
        <v>262154</v>
      </c>
      <c r="G129" s="1">
        <v>2558975</v>
      </c>
      <c r="H129" s="4">
        <v>9.3006453315680186</v>
      </c>
      <c r="I129" s="2">
        <v>5.8500000000000002E-3</v>
      </c>
      <c r="J129" s="2">
        <v>5.7600000000000004E-3</v>
      </c>
      <c r="K129" s="2">
        <v>4.8700000000000002E-3</v>
      </c>
      <c r="L129" s="2">
        <v>5.4900000000000001E-3</v>
      </c>
      <c r="M129" s="1">
        <v>1.014</v>
      </c>
      <c r="N129" s="1">
        <v>1.1839999999999999</v>
      </c>
      <c r="O129" s="1">
        <v>1.2010000000000001</v>
      </c>
      <c r="P129" s="1">
        <v>1.226</v>
      </c>
      <c r="Q129" s="1">
        <v>0.84399999999999997</v>
      </c>
      <c r="R129" s="1">
        <f t="shared" si="1"/>
        <v>0.18453184007102941</v>
      </c>
      <c r="S129" s="1">
        <v>321.8</v>
      </c>
      <c r="T129" s="1">
        <v>60.3</v>
      </c>
      <c r="U129" s="1">
        <v>220.2</v>
      </c>
      <c r="V129" s="1">
        <v>6.5</v>
      </c>
      <c r="W129" s="1">
        <v>126.6</v>
      </c>
      <c r="X129" s="1">
        <v>28.8</v>
      </c>
    </row>
    <row r="130" spans="1:24" ht="16">
      <c r="A130" s="3">
        <v>34</v>
      </c>
      <c r="B130" s="1" t="s">
        <v>157</v>
      </c>
      <c r="C130" s="1" t="s">
        <v>162</v>
      </c>
      <c r="D130" s="1" t="s">
        <v>115</v>
      </c>
      <c r="E130" s="1" t="s">
        <v>68</v>
      </c>
      <c r="F130" s="1">
        <v>262274</v>
      </c>
      <c r="G130" s="1">
        <v>2559060</v>
      </c>
      <c r="H130" s="4">
        <v>9.2392222831139321</v>
      </c>
      <c r="I130" s="2">
        <v>6.62E-3</v>
      </c>
      <c r="J130" s="2">
        <v>6.5399999999999998E-3</v>
      </c>
      <c r="K130" s="2">
        <v>5.9699999999999996E-3</v>
      </c>
      <c r="L130" s="2">
        <v>6.3800000000000003E-3</v>
      </c>
      <c r="M130" s="1">
        <v>1.012</v>
      </c>
      <c r="N130" s="1">
        <v>1.0960000000000001</v>
      </c>
      <c r="O130" s="1">
        <v>1.109</v>
      </c>
      <c r="P130" s="1">
        <v>1.1200000000000001</v>
      </c>
      <c r="Q130" s="1">
        <v>0.76900000000000002</v>
      </c>
      <c r="R130" s="1">
        <f t="shared" ref="R130:R166" si="2">((M130-1)^2+(N130-1)^2)^0.5</f>
        <v>9.6747092979582672E-2</v>
      </c>
      <c r="S130" s="1">
        <v>29.3</v>
      </c>
      <c r="T130" s="1">
        <v>7.5</v>
      </c>
      <c r="U130" s="1">
        <v>284.60000000000002</v>
      </c>
      <c r="V130" s="1">
        <v>62.6</v>
      </c>
      <c r="W130" s="1">
        <v>123</v>
      </c>
      <c r="X130" s="1">
        <v>26.2</v>
      </c>
    </row>
    <row r="131" spans="1:24" ht="16">
      <c r="A131" s="3">
        <v>34</v>
      </c>
      <c r="B131" s="1" t="s">
        <v>157</v>
      </c>
      <c r="C131" s="1" t="s">
        <v>163</v>
      </c>
      <c r="D131" s="1" t="s">
        <v>115</v>
      </c>
      <c r="E131" s="1" t="s">
        <v>68</v>
      </c>
      <c r="F131" s="1">
        <v>262274</v>
      </c>
      <c r="G131" s="1">
        <v>2559060</v>
      </c>
      <c r="H131" s="4">
        <v>9.2392222831139321</v>
      </c>
      <c r="I131" s="2">
        <v>7.0600000000000003E-3</v>
      </c>
      <c r="J131" s="2">
        <v>6.9800000000000001E-3</v>
      </c>
      <c r="K131" s="2">
        <v>6.3800000000000003E-3</v>
      </c>
      <c r="L131" s="2">
        <v>6.8100000000000001E-3</v>
      </c>
      <c r="M131" s="1">
        <v>1.0129999999999999</v>
      </c>
      <c r="N131" s="1">
        <v>1.093</v>
      </c>
      <c r="O131" s="1">
        <v>1.107</v>
      </c>
      <c r="P131" s="1">
        <v>1.117</v>
      </c>
      <c r="Q131" s="1">
        <v>0.753</v>
      </c>
      <c r="R131" s="1">
        <f t="shared" si="2"/>
        <v>9.3904206508547805E-2</v>
      </c>
      <c r="S131" s="1">
        <v>27.7</v>
      </c>
      <c r="T131" s="1">
        <v>12.3</v>
      </c>
      <c r="U131" s="1">
        <v>276.10000000000002</v>
      </c>
      <c r="V131" s="1">
        <v>59.4</v>
      </c>
      <c r="W131" s="1">
        <v>124.2</v>
      </c>
      <c r="X131" s="1">
        <v>27.5</v>
      </c>
    </row>
    <row r="132" spans="1:24" ht="16">
      <c r="A132" s="3">
        <v>34</v>
      </c>
      <c r="B132" s="1" t="s">
        <v>157</v>
      </c>
      <c r="C132" s="1" t="s">
        <v>164</v>
      </c>
      <c r="D132" s="1" t="s">
        <v>115</v>
      </c>
      <c r="E132" s="1" t="s">
        <v>68</v>
      </c>
      <c r="F132" s="1">
        <v>262274</v>
      </c>
      <c r="G132" s="1">
        <v>2559060</v>
      </c>
      <c r="H132" s="4">
        <v>9.2392222831139321</v>
      </c>
      <c r="I132" s="2">
        <v>7.2300000000000003E-3</v>
      </c>
      <c r="J132" s="2">
        <v>7.1399999999999996E-3</v>
      </c>
      <c r="K132" s="2">
        <v>6.4999999999999997E-3</v>
      </c>
      <c r="L132" s="2">
        <v>6.96E-3</v>
      </c>
      <c r="M132" s="1">
        <v>1.012</v>
      </c>
      <c r="N132" s="1">
        <v>1.0980000000000001</v>
      </c>
      <c r="O132" s="1">
        <v>1.1120000000000001</v>
      </c>
      <c r="P132" s="1">
        <v>1.123</v>
      </c>
      <c r="Q132" s="1">
        <v>0.77300000000000002</v>
      </c>
      <c r="R132" s="1">
        <f t="shared" si="2"/>
        <v>9.8731960377579947E-2</v>
      </c>
      <c r="S132" s="1">
        <v>27.1</v>
      </c>
      <c r="T132" s="1">
        <v>9.4</v>
      </c>
      <c r="U132" s="1">
        <v>279.39999999999998</v>
      </c>
      <c r="V132" s="1">
        <v>61.4</v>
      </c>
      <c r="W132" s="1">
        <v>121.9</v>
      </c>
      <c r="X132" s="1">
        <v>26.7</v>
      </c>
    </row>
    <row r="133" spans="1:24" ht="16">
      <c r="A133" s="3">
        <v>34</v>
      </c>
      <c r="B133" s="1" t="s">
        <v>157</v>
      </c>
      <c r="C133" s="1" t="s">
        <v>165</v>
      </c>
      <c r="D133" s="1" t="s">
        <v>115</v>
      </c>
      <c r="E133" s="1" t="s">
        <v>68</v>
      </c>
      <c r="F133" s="1">
        <v>262274</v>
      </c>
      <c r="G133" s="1">
        <v>2559060</v>
      </c>
      <c r="H133" s="4">
        <v>9.2392222831139321</v>
      </c>
      <c r="I133" s="2">
        <v>7.0600000000000003E-3</v>
      </c>
      <c r="J133" s="2">
        <v>6.9800000000000001E-3</v>
      </c>
      <c r="K133" s="2">
        <v>6.3600000000000002E-3</v>
      </c>
      <c r="L133" s="2">
        <v>6.7999999999999996E-3</v>
      </c>
      <c r="M133" s="1">
        <v>1.012</v>
      </c>
      <c r="N133" s="1">
        <v>1.0980000000000001</v>
      </c>
      <c r="O133" s="1">
        <v>1.111</v>
      </c>
      <c r="P133" s="1">
        <v>1.1220000000000001</v>
      </c>
      <c r="Q133" s="1">
        <v>0.77</v>
      </c>
      <c r="R133" s="1">
        <f t="shared" si="2"/>
        <v>9.8731960377579947E-2</v>
      </c>
      <c r="S133" s="1">
        <v>27.8</v>
      </c>
      <c r="T133" s="1">
        <v>7.9</v>
      </c>
      <c r="U133" s="1">
        <v>282.5</v>
      </c>
      <c r="V133" s="1">
        <v>62.4</v>
      </c>
      <c r="W133" s="1">
        <v>121.7</v>
      </c>
      <c r="X133" s="1">
        <v>26.2</v>
      </c>
    </row>
    <row r="134" spans="1:24" ht="16">
      <c r="A134" s="3">
        <v>35</v>
      </c>
      <c r="B134" s="1" t="s">
        <v>108</v>
      </c>
      <c r="C134" s="1" t="s">
        <v>166</v>
      </c>
      <c r="D134" s="1" t="s">
        <v>115</v>
      </c>
      <c r="E134" s="1" t="s">
        <v>135</v>
      </c>
      <c r="F134" s="1">
        <v>260889</v>
      </c>
      <c r="G134" s="1">
        <v>2556543</v>
      </c>
      <c r="H134" s="4">
        <v>9.1801674673552096</v>
      </c>
      <c r="I134" s="2">
        <v>7.4290000000000001E-4</v>
      </c>
      <c r="J134" s="2">
        <v>7.3189999999999996E-4</v>
      </c>
      <c r="K134" s="2">
        <v>6.625E-4</v>
      </c>
      <c r="L134" s="2">
        <v>7.1239999999999997E-4</v>
      </c>
      <c r="M134" s="1">
        <v>1.0149999999999999</v>
      </c>
      <c r="N134" s="1">
        <v>1.105</v>
      </c>
      <c r="O134" s="1">
        <v>1.121</v>
      </c>
      <c r="P134" s="1">
        <v>1.133</v>
      </c>
      <c r="Q134" s="1">
        <v>0.73899999999999999</v>
      </c>
      <c r="R134" s="1">
        <f t="shared" si="2"/>
        <v>0.1060660171779821</v>
      </c>
      <c r="S134" s="1">
        <v>4.0999999999999996</v>
      </c>
      <c r="T134" s="1">
        <v>19.2</v>
      </c>
      <c r="U134" s="1">
        <v>247.9</v>
      </c>
      <c r="V134" s="1">
        <v>51.7</v>
      </c>
      <c r="W134" s="1">
        <v>106.5</v>
      </c>
      <c r="X134" s="1">
        <v>31.7</v>
      </c>
    </row>
    <row r="135" spans="1:24" ht="16">
      <c r="A135" s="3">
        <v>35</v>
      </c>
      <c r="B135" s="1" t="s">
        <v>108</v>
      </c>
      <c r="C135" s="1" t="s">
        <v>167</v>
      </c>
      <c r="D135" s="1" t="s">
        <v>115</v>
      </c>
      <c r="E135" s="1" t="s">
        <v>135</v>
      </c>
      <c r="F135" s="1">
        <v>260889</v>
      </c>
      <c r="G135" s="1">
        <v>2556543</v>
      </c>
      <c r="H135" s="4">
        <v>9.1801674673552096</v>
      </c>
      <c r="I135" s="2">
        <v>8.03E-4</v>
      </c>
      <c r="J135" s="2">
        <v>7.9100000000000004E-4</v>
      </c>
      <c r="K135" s="2">
        <v>7.1369999999999995E-4</v>
      </c>
      <c r="L135" s="2">
        <v>7.6920000000000005E-4</v>
      </c>
      <c r="M135" s="1">
        <v>1.0149999999999999</v>
      </c>
      <c r="N135" s="1">
        <v>1.1080000000000001</v>
      </c>
      <c r="O135" s="1">
        <v>1.125</v>
      </c>
      <c r="P135" s="1">
        <v>1.137</v>
      </c>
      <c r="Q135" s="1">
        <v>0.745</v>
      </c>
      <c r="R135" s="1">
        <f t="shared" si="2"/>
        <v>0.10903669107231757</v>
      </c>
      <c r="S135" s="1">
        <v>11.2</v>
      </c>
      <c r="T135" s="1">
        <v>14</v>
      </c>
      <c r="U135" s="1">
        <v>260.2</v>
      </c>
      <c r="V135" s="1">
        <v>55.1</v>
      </c>
      <c r="W135" s="1">
        <v>109.9</v>
      </c>
      <c r="X135" s="1">
        <v>31.2</v>
      </c>
    </row>
    <row r="136" spans="1:24" ht="16">
      <c r="A136" s="3">
        <v>35</v>
      </c>
      <c r="B136" s="1" t="s">
        <v>108</v>
      </c>
      <c r="C136" s="1" t="s">
        <v>168</v>
      </c>
      <c r="D136" s="1" t="s">
        <v>115</v>
      </c>
      <c r="E136" s="1" t="s">
        <v>135</v>
      </c>
      <c r="F136" s="1">
        <v>260889</v>
      </c>
      <c r="G136" s="1">
        <v>2556543</v>
      </c>
      <c r="H136" s="4">
        <v>9.1801674673552096</v>
      </c>
      <c r="I136" s="2">
        <v>7.5509999999999998E-4</v>
      </c>
      <c r="J136" s="2">
        <v>7.5040000000000003E-4</v>
      </c>
      <c r="K136" s="2">
        <v>6.7239999999999997E-4</v>
      </c>
      <c r="L136" s="2">
        <v>7.2599999999999997E-4</v>
      </c>
      <c r="M136" s="1">
        <v>1.006</v>
      </c>
      <c r="N136" s="1">
        <v>1.1160000000000001</v>
      </c>
      <c r="O136" s="1">
        <v>1.123</v>
      </c>
      <c r="P136" s="1">
        <v>1.139</v>
      </c>
      <c r="Q136" s="1">
        <v>0.89300000000000002</v>
      </c>
      <c r="R136" s="1">
        <f t="shared" si="2"/>
        <v>0.11615506876585294</v>
      </c>
      <c r="S136" s="1">
        <v>6.8</v>
      </c>
      <c r="T136" s="1">
        <v>18.899999999999999</v>
      </c>
      <c r="U136" s="1">
        <v>251.7</v>
      </c>
      <c r="V136" s="1">
        <v>51.2</v>
      </c>
      <c r="W136" s="1">
        <v>109.4</v>
      </c>
      <c r="X136" s="1">
        <v>32.5</v>
      </c>
    </row>
    <row r="137" spans="1:24" ht="16">
      <c r="A137" s="3">
        <v>36</v>
      </c>
      <c r="B137" s="1" t="s">
        <v>157</v>
      </c>
      <c r="C137" s="1" t="s">
        <v>169</v>
      </c>
      <c r="D137" s="1" t="s">
        <v>115</v>
      </c>
      <c r="E137" s="1" t="s">
        <v>68</v>
      </c>
      <c r="F137" s="1">
        <v>262391</v>
      </c>
      <c r="G137" s="1">
        <v>2559094</v>
      </c>
      <c r="H137" s="4">
        <v>9.1548973108710019</v>
      </c>
      <c r="I137" s="2">
        <v>6.0499999999999998E-3</v>
      </c>
      <c r="J137" s="2">
        <v>6.0239999999999998E-3</v>
      </c>
      <c r="K137" s="2">
        <v>5.3270000000000001E-3</v>
      </c>
      <c r="L137" s="2">
        <v>5.7999999999999996E-3</v>
      </c>
      <c r="M137" s="1">
        <v>1.004</v>
      </c>
      <c r="N137" s="1">
        <v>1.131</v>
      </c>
      <c r="O137" s="1">
        <v>1.1359999999999999</v>
      </c>
      <c r="P137" s="1">
        <v>1.155</v>
      </c>
      <c r="Q137" s="1">
        <v>0.93200000000000005</v>
      </c>
      <c r="R137" s="1">
        <f t="shared" si="2"/>
        <v>0.13106105447462263</v>
      </c>
      <c r="S137" s="1">
        <v>14.2</v>
      </c>
      <c r="T137" s="1">
        <v>32.5</v>
      </c>
      <c r="U137" s="1">
        <v>258</v>
      </c>
      <c r="V137" s="1">
        <v>34.700000000000003</v>
      </c>
      <c r="W137" s="1">
        <v>134.6</v>
      </c>
      <c r="X137" s="1">
        <v>38.5</v>
      </c>
    </row>
    <row r="138" spans="1:24" ht="16">
      <c r="A138" s="3">
        <v>36</v>
      </c>
      <c r="B138" s="1" t="s">
        <v>157</v>
      </c>
      <c r="C138" s="1" t="s">
        <v>170</v>
      </c>
      <c r="D138" s="1" t="s">
        <v>115</v>
      </c>
      <c r="E138" s="1" t="s">
        <v>68</v>
      </c>
      <c r="F138" s="1">
        <v>262391</v>
      </c>
      <c r="G138" s="1">
        <v>2559094</v>
      </c>
      <c r="H138" s="4">
        <v>9.1548973108710019</v>
      </c>
      <c r="I138" s="2">
        <v>5.7000000000000002E-3</v>
      </c>
      <c r="J138" s="2">
        <v>5.6620000000000004E-3</v>
      </c>
      <c r="K138" s="2">
        <v>4.9430000000000003E-3</v>
      </c>
      <c r="L138" s="2">
        <v>5.4349999999999997E-3</v>
      </c>
      <c r="M138" s="1">
        <v>1.0069999999999999</v>
      </c>
      <c r="N138" s="1">
        <v>1.145</v>
      </c>
      <c r="O138" s="1">
        <v>1.153</v>
      </c>
      <c r="P138" s="1">
        <v>1.1739999999999999</v>
      </c>
      <c r="Q138" s="1">
        <v>0.90600000000000003</v>
      </c>
      <c r="R138" s="1">
        <f t="shared" si="2"/>
        <v>0.14516886718577093</v>
      </c>
      <c r="S138" s="1">
        <v>228.9</v>
      </c>
      <c r="T138" s="1">
        <v>13.5</v>
      </c>
      <c r="U138" s="1">
        <v>338.4</v>
      </c>
      <c r="V138" s="1">
        <v>54.4</v>
      </c>
      <c r="W138" s="1">
        <v>130.19999999999999</v>
      </c>
      <c r="X138" s="1">
        <v>32.299999999999997</v>
      </c>
    </row>
    <row r="139" spans="1:24" ht="16">
      <c r="A139" s="3">
        <v>36</v>
      </c>
      <c r="B139" s="1" t="s">
        <v>157</v>
      </c>
      <c r="C139" s="1" t="s">
        <v>171</v>
      </c>
      <c r="D139" s="1" t="s">
        <v>115</v>
      </c>
      <c r="E139" s="1" t="s">
        <v>68</v>
      </c>
      <c r="F139" s="1">
        <v>262391</v>
      </c>
      <c r="G139" s="1">
        <v>2559094</v>
      </c>
      <c r="H139" s="4">
        <v>9.1548973108710019</v>
      </c>
      <c r="I139" s="2">
        <v>5.5310000000000003E-3</v>
      </c>
      <c r="J139" s="2">
        <v>5.5100000000000001E-3</v>
      </c>
      <c r="K139" s="2">
        <v>4.7790000000000003E-3</v>
      </c>
      <c r="L139" s="2">
        <v>5.2729999999999999E-3</v>
      </c>
      <c r="M139" s="1">
        <v>1.004</v>
      </c>
      <c r="N139" s="1">
        <v>1.153</v>
      </c>
      <c r="O139" s="1">
        <v>1.157</v>
      </c>
      <c r="P139" s="1">
        <v>1.181</v>
      </c>
      <c r="Q139" s="1">
        <v>0.94799999999999995</v>
      </c>
      <c r="R139" s="1">
        <f t="shared" si="2"/>
        <v>0.15305227865013968</v>
      </c>
      <c r="S139" s="1">
        <v>37.5</v>
      </c>
      <c r="T139" s="1">
        <v>5.7</v>
      </c>
      <c r="U139" s="1">
        <v>298.8</v>
      </c>
      <c r="V139" s="1">
        <v>56.6</v>
      </c>
      <c r="W139" s="1">
        <v>131.19999999999999</v>
      </c>
      <c r="X139" s="1">
        <v>32.799999999999997</v>
      </c>
    </row>
    <row r="140" spans="1:24" ht="16">
      <c r="A140" s="3">
        <v>37</v>
      </c>
      <c r="B140" s="1" t="s">
        <v>157</v>
      </c>
      <c r="C140" s="1" t="s">
        <v>172</v>
      </c>
      <c r="D140" s="1" t="s">
        <v>115</v>
      </c>
      <c r="E140" s="1" t="s">
        <v>68</v>
      </c>
      <c r="F140" s="1">
        <v>262777</v>
      </c>
      <c r="G140" s="1">
        <v>2559565</v>
      </c>
      <c r="H140" s="4">
        <v>9.0561115050103087</v>
      </c>
      <c r="I140" s="2">
        <v>5.1599999999999997E-3</v>
      </c>
      <c r="J140" s="2">
        <v>4.9800000000000001E-3</v>
      </c>
      <c r="K140" s="2">
        <v>4.6299999999999996E-3</v>
      </c>
      <c r="L140" s="2">
        <v>4.9199999999999999E-3</v>
      </c>
      <c r="M140" s="1">
        <v>1.036</v>
      </c>
      <c r="N140" s="1">
        <v>1.0760000000000001</v>
      </c>
      <c r="O140" s="1">
        <v>1.115</v>
      </c>
      <c r="P140" s="1">
        <v>1.117</v>
      </c>
      <c r="Q140" s="1">
        <v>0.35299999999999998</v>
      </c>
      <c r="R140" s="1">
        <f t="shared" si="2"/>
        <v>8.4095184166514625E-2</v>
      </c>
      <c r="S140" s="1">
        <v>15.2</v>
      </c>
      <c r="T140" s="1">
        <v>2.2999999999999998</v>
      </c>
      <c r="U140" s="1">
        <v>281.60000000000002</v>
      </c>
      <c r="V140" s="1">
        <v>57.3</v>
      </c>
      <c r="W140" s="1">
        <v>106.6</v>
      </c>
      <c r="X140" s="1">
        <v>32.6</v>
      </c>
    </row>
    <row r="141" spans="1:24" ht="16">
      <c r="A141" s="3">
        <v>37</v>
      </c>
      <c r="B141" s="1" t="s">
        <v>157</v>
      </c>
      <c r="C141" s="1" t="s">
        <v>173</v>
      </c>
      <c r="D141" s="1" t="s">
        <v>115</v>
      </c>
      <c r="E141" s="1" t="s">
        <v>68</v>
      </c>
      <c r="F141" s="1">
        <v>262777</v>
      </c>
      <c r="G141" s="1">
        <v>2559565</v>
      </c>
      <c r="H141" s="4">
        <v>9.0561115050103087</v>
      </c>
      <c r="I141" s="2">
        <v>5.1399999999999996E-3</v>
      </c>
      <c r="J141" s="2">
        <v>4.9899999999999996E-3</v>
      </c>
      <c r="K141" s="2">
        <v>4.6499999999999996E-3</v>
      </c>
      <c r="L141" s="2">
        <v>4.9300000000000004E-3</v>
      </c>
      <c r="M141" s="1">
        <v>1.03</v>
      </c>
      <c r="N141" s="1">
        <v>1.0740000000000001</v>
      </c>
      <c r="O141" s="1">
        <v>1.107</v>
      </c>
      <c r="P141" s="1">
        <v>1.1100000000000001</v>
      </c>
      <c r="Q141" s="1">
        <v>0.41799999999999998</v>
      </c>
      <c r="R141" s="1">
        <f t="shared" si="2"/>
        <v>7.984985911070859E-2</v>
      </c>
      <c r="S141" s="1">
        <v>16</v>
      </c>
      <c r="T141" s="1">
        <v>4.0999999999999996</v>
      </c>
      <c r="U141" s="1">
        <v>279</v>
      </c>
      <c r="V141" s="1">
        <v>59.2</v>
      </c>
      <c r="W141" s="1">
        <v>108.4</v>
      </c>
      <c r="X141" s="1">
        <v>30.4</v>
      </c>
    </row>
    <row r="142" spans="1:24" ht="16">
      <c r="A142" s="3">
        <v>37</v>
      </c>
      <c r="B142" s="1" t="s">
        <v>157</v>
      </c>
      <c r="C142" s="1" t="s">
        <v>174</v>
      </c>
      <c r="D142" s="1" t="s">
        <v>115</v>
      </c>
      <c r="E142" s="1" t="s">
        <v>68</v>
      </c>
      <c r="F142" s="1">
        <v>262777</v>
      </c>
      <c r="G142" s="1">
        <v>2559565</v>
      </c>
      <c r="H142" s="4">
        <v>9.0561115050103087</v>
      </c>
      <c r="I142" s="2">
        <v>4.9800000000000001E-3</v>
      </c>
      <c r="J142" s="2">
        <v>4.8300000000000001E-3</v>
      </c>
      <c r="K142" s="2">
        <v>4.4900000000000001E-3</v>
      </c>
      <c r="L142" s="2">
        <v>4.7600000000000003E-3</v>
      </c>
      <c r="M142" s="1">
        <v>1.0309999999999999</v>
      </c>
      <c r="N142" s="1">
        <v>1.075</v>
      </c>
      <c r="O142" s="1">
        <v>1.1080000000000001</v>
      </c>
      <c r="P142" s="1">
        <v>1.111</v>
      </c>
      <c r="Q142" s="1">
        <v>0.40300000000000002</v>
      </c>
      <c r="R142" s="1">
        <f t="shared" si="2"/>
        <v>8.115417426109385E-2</v>
      </c>
      <c r="S142" s="1">
        <v>198.6</v>
      </c>
      <c r="T142" s="1">
        <v>0.4</v>
      </c>
      <c r="U142" s="1">
        <v>289.2</v>
      </c>
      <c r="V142" s="1">
        <v>57.5</v>
      </c>
      <c r="W142" s="1">
        <v>108.3</v>
      </c>
      <c r="X142" s="1">
        <v>32.5</v>
      </c>
    </row>
    <row r="143" spans="1:24" ht="16">
      <c r="A143" s="3">
        <v>37</v>
      </c>
      <c r="B143" s="1" t="s">
        <v>157</v>
      </c>
      <c r="C143" s="1" t="s">
        <v>175</v>
      </c>
      <c r="D143" s="1" t="s">
        <v>115</v>
      </c>
      <c r="E143" s="1" t="s">
        <v>68</v>
      </c>
      <c r="F143" s="1">
        <v>262777</v>
      </c>
      <c r="G143" s="1">
        <v>2559565</v>
      </c>
      <c r="H143" s="4">
        <v>9.0561115050103087</v>
      </c>
      <c r="I143" s="2">
        <v>5.2900000000000004E-3</v>
      </c>
      <c r="J143" s="2">
        <v>5.1399999999999996E-3</v>
      </c>
      <c r="K143" s="2">
        <v>4.7800000000000004E-3</v>
      </c>
      <c r="L143" s="2">
        <v>5.0699999999999999E-3</v>
      </c>
      <c r="M143" s="1">
        <v>1.0289999999999999</v>
      </c>
      <c r="N143" s="1">
        <v>1.0760000000000001</v>
      </c>
      <c r="O143" s="1">
        <v>1.1080000000000001</v>
      </c>
      <c r="P143" s="1">
        <v>1.111</v>
      </c>
      <c r="Q143" s="1">
        <v>0.432</v>
      </c>
      <c r="R143" s="1">
        <f t="shared" si="2"/>
        <v>8.1344944526381024E-2</v>
      </c>
      <c r="S143" s="1">
        <v>286.3</v>
      </c>
      <c r="T143" s="1">
        <v>59.1</v>
      </c>
      <c r="U143" s="1">
        <v>195.4</v>
      </c>
      <c r="V143" s="1">
        <v>0.5</v>
      </c>
      <c r="W143" s="1">
        <v>105.1</v>
      </c>
      <c r="X143" s="1">
        <v>30.9</v>
      </c>
    </row>
    <row r="144" spans="1:24" ht="16">
      <c r="A144" s="3">
        <v>38</v>
      </c>
      <c r="B144" s="1" t="s">
        <v>157</v>
      </c>
      <c r="C144" s="1" t="s">
        <v>176</v>
      </c>
      <c r="D144" s="1" t="s">
        <v>115</v>
      </c>
      <c r="E144" s="1" t="s">
        <v>135</v>
      </c>
      <c r="F144" s="1">
        <v>261368</v>
      </c>
      <c r="G144" s="1">
        <v>2556598</v>
      </c>
      <c r="H144" s="4">
        <v>8.7928412989425375</v>
      </c>
      <c r="I144" s="2">
        <v>2.99E-3</v>
      </c>
      <c r="J144" s="2">
        <v>2.7000000000000001E-3</v>
      </c>
      <c r="K144" s="2">
        <v>2.166E-3</v>
      </c>
      <c r="L144" s="2">
        <v>2.6189999999999998E-3</v>
      </c>
      <c r="M144" s="1">
        <v>1.107</v>
      </c>
      <c r="N144" s="1">
        <v>1.2470000000000001</v>
      </c>
      <c r="O144" s="1">
        <v>1.38</v>
      </c>
      <c r="P144" s="1">
        <v>1.39</v>
      </c>
      <c r="Q144" s="1">
        <v>0.36799999999999999</v>
      </c>
      <c r="R144" s="1">
        <f t="shared" si="2"/>
        <v>0.26918023701601879</v>
      </c>
      <c r="S144" s="1">
        <v>45.3</v>
      </c>
      <c r="T144" s="1">
        <v>0.1</v>
      </c>
      <c r="U144" s="1">
        <v>135.5</v>
      </c>
      <c r="V144" s="1">
        <v>53.5</v>
      </c>
      <c r="W144" s="1">
        <v>315.2</v>
      </c>
      <c r="X144" s="1">
        <v>36.5</v>
      </c>
    </row>
    <row r="145" spans="1:24" ht="16">
      <c r="A145" s="3">
        <v>38</v>
      </c>
      <c r="B145" s="1" t="s">
        <v>157</v>
      </c>
      <c r="C145" s="1" t="s">
        <v>177</v>
      </c>
      <c r="D145" s="1" t="s">
        <v>115</v>
      </c>
      <c r="E145" s="1" t="s">
        <v>135</v>
      </c>
      <c r="F145" s="1">
        <v>261368</v>
      </c>
      <c r="G145" s="1">
        <v>2556598</v>
      </c>
      <c r="H145" s="4">
        <v>8.7928412989425375</v>
      </c>
      <c r="I145" s="2">
        <v>3.1099999999999999E-3</v>
      </c>
      <c r="J145" s="2">
        <v>2.8400000000000001E-3</v>
      </c>
      <c r="K145" s="2">
        <v>2.4810000000000001E-3</v>
      </c>
      <c r="L145" s="2">
        <v>2.8110000000000001E-3</v>
      </c>
      <c r="M145" s="1">
        <v>1.095</v>
      </c>
      <c r="N145" s="1">
        <v>1.145</v>
      </c>
      <c r="O145" s="1">
        <v>1.254</v>
      </c>
      <c r="P145" s="1">
        <v>1.2549999999999999</v>
      </c>
      <c r="Q145" s="1">
        <v>0.19500000000000001</v>
      </c>
      <c r="R145" s="1">
        <f t="shared" si="2"/>
        <v>0.17334935823359715</v>
      </c>
      <c r="S145" s="1">
        <v>45</v>
      </c>
      <c r="T145" s="1">
        <v>2.9</v>
      </c>
      <c r="U145" s="1">
        <v>144.19999999999999</v>
      </c>
      <c r="V145" s="1">
        <v>72.2</v>
      </c>
      <c r="W145" s="1">
        <v>314.10000000000002</v>
      </c>
      <c r="X145" s="1">
        <v>17.5</v>
      </c>
    </row>
    <row r="146" spans="1:24" ht="16">
      <c r="A146" s="3">
        <v>38</v>
      </c>
      <c r="B146" s="1" t="s">
        <v>157</v>
      </c>
      <c r="C146" s="1" t="s">
        <v>178</v>
      </c>
      <c r="D146" s="1" t="s">
        <v>115</v>
      </c>
      <c r="E146" s="1" t="s">
        <v>135</v>
      </c>
      <c r="F146" s="1">
        <v>261368</v>
      </c>
      <c r="G146" s="1">
        <v>2556598</v>
      </c>
      <c r="H146" s="4">
        <v>8.7928412989425375</v>
      </c>
      <c r="I146" s="2">
        <v>2.2920000000000002E-3</v>
      </c>
      <c r="J146" s="2">
        <v>2.1310000000000001E-3</v>
      </c>
      <c r="K146" s="2">
        <v>1.768E-3</v>
      </c>
      <c r="L146" s="2">
        <v>2.0639999999999999E-3</v>
      </c>
      <c r="M146" s="1">
        <v>1.075</v>
      </c>
      <c r="N146" s="1">
        <v>1.2050000000000001</v>
      </c>
      <c r="O146" s="1">
        <v>1.296</v>
      </c>
      <c r="P146" s="1">
        <v>1.3069999999999999</v>
      </c>
      <c r="Q146" s="1">
        <v>0.439</v>
      </c>
      <c r="R146" s="1">
        <f t="shared" si="2"/>
        <v>0.21828879952943078</v>
      </c>
      <c r="S146" s="1">
        <v>46.4</v>
      </c>
      <c r="T146" s="1">
        <v>1.3</v>
      </c>
      <c r="U146" s="1">
        <v>313.10000000000002</v>
      </c>
      <c r="V146" s="1">
        <v>68.7</v>
      </c>
      <c r="W146" s="1">
        <v>136.9</v>
      </c>
      <c r="X146" s="1">
        <v>21.3</v>
      </c>
    </row>
    <row r="147" spans="1:24" ht="16">
      <c r="A147" s="3">
        <v>39</v>
      </c>
      <c r="B147" s="1" t="s">
        <v>157</v>
      </c>
      <c r="C147" s="1" t="s">
        <v>179</v>
      </c>
      <c r="D147" s="1" t="s">
        <v>115</v>
      </c>
      <c r="E147" s="1" t="s">
        <v>68</v>
      </c>
      <c r="F147" s="1">
        <v>263302</v>
      </c>
      <c r="G147" s="1">
        <v>2559445</v>
      </c>
      <c r="H147" s="4">
        <v>8.5414481680232974</v>
      </c>
      <c r="I147" s="2">
        <v>4.0439999999999999E-3</v>
      </c>
      <c r="J147" s="2">
        <v>3.9779999999999998E-3</v>
      </c>
      <c r="K147" s="2">
        <v>3.4870000000000001E-3</v>
      </c>
      <c r="L147" s="2">
        <v>3.836E-3</v>
      </c>
      <c r="M147" s="1">
        <v>1.141</v>
      </c>
      <c r="N147" s="1">
        <v>1.016</v>
      </c>
      <c r="O147" s="1">
        <v>1.1599999999999999</v>
      </c>
      <c r="P147" s="1">
        <v>1.1759999999999999</v>
      </c>
      <c r="Q147" s="1">
        <v>0.78100000000000003</v>
      </c>
      <c r="R147" s="1">
        <f t="shared" si="2"/>
        <v>0.14190489773083945</v>
      </c>
      <c r="S147" s="1">
        <v>238.3</v>
      </c>
      <c r="T147" s="1">
        <v>7.3</v>
      </c>
      <c r="U147" s="1">
        <v>339.6</v>
      </c>
      <c r="V147" s="1">
        <v>56.9</v>
      </c>
      <c r="W147" s="1">
        <v>143.69999999999999</v>
      </c>
      <c r="X147" s="1">
        <v>32.1</v>
      </c>
    </row>
    <row r="148" spans="1:24" ht="16">
      <c r="A148" s="3">
        <v>39</v>
      </c>
      <c r="B148" s="1" t="s">
        <v>157</v>
      </c>
      <c r="C148" s="1" t="s">
        <v>180</v>
      </c>
      <c r="D148" s="1" t="s">
        <v>115</v>
      </c>
      <c r="E148" s="1" t="s">
        <v>68</v>
      </c>
      <c r="F148" s="1">
        <v>263302</v>
      </c>
      <c r="G148" s="1">
        <v>2559445</v>
      </c>
      <c r="H148" s="4">
        <v>8.5414481680232974</v>
      </c>
      <c r="I148" s="2">
        <v>3.8270000000000001E-3</v>
      </c>
      <c r="J148" s="2">
        <v>3.6259999999999999E-3</v>
      </c>
      <c r="K148" s="2">
        <v>3.2200000000000002E-3</v>
      </c>
      <c r="L148" s="2">
        <v>3.558E-3</v>
      </c>
      <c r="M148" s="1">
        <v>1.1259999999999999</v>
      </c>
      <c r="N148" s="1">
        <v>1.056</v>
      </c>
      <c r="O148" s="1">
        <v>1.1890000000000001</v>
      </c>
      <c r="P148" s="1">
        <v>1.1930000000000001</v>
      </c>
      <c r="Q148" s="1">
        <v>0.373</v>
      </c>
      <c r="R148" s="1">
        <f t="shared" si="2"/>
        <v>0.1378840092251454</v>
      </c>
      <c r="S148" s="1">
        <v>237.7</v>
      </c>
      <c r="T148" s="1">
        <v>4.0999999999999996</v>
      </c>
      <c r="U148" s="1">
        <v>341.7</v>
      </c>
      <c r="V148" s="1">
        <v>73.5</v>
      </c>
      <c r="W148" s="1">
        <v>146.6</v>
      </c>
      <c r="X148" s="1">
        <v>16</v>
      </c>
    </row>
    <row r="149" spans="1:24" ht="16">
      <c r="A149" s="3">
        <v>39</v>
      </c>
      <c r="B149" s="1" t="s">
        <v>157</v>
      </c>
      <c r="C149" s="1" t="s">
        <v>181</v>
      </c>
      <c r="D149" s="1" t="s">
        <v>115</v>
      </c>
      <c r="E149" s="1" t="s">
        <v>68</v>
      </c>
      <c r="F149" s="1">
        <v>263302</v>
      </c>
      <c r="G149" s="1">
        <v>2559445</v>
      </c>
      <c r="H149" s="4">
        <v>8.5414481680232974</v>
      </c>
      <c r="I149" s="2">
        <v>4.4510000000000001E-3</v>
      </c>
      <c r="J149" s="2">
        <v>4.267E-3</v>
      </c>
      <c r="K149" s="2">
        <v>3.686E-3</v>
      </c>
      <c r="L149" s="2">
        <v>4.1349999999999998E-3</v>
      </c>
      <c r="M149" s="1">
        <v>1.157</v>
      </c>
      <c r="N149" s="1">
        <v>1.0429999999999999</v>
      </c>
      <c r="O149" s="1">
        <v>1.2070000000000001</v>
      </c>
      <c r="P149" s="1">
        <v>1.2190000000000001</v>
      </c>
      <c r="Q149" s="1">
        <v>0.55200000000000005</v>
      </c>
      <c r="R149" s="1">
        <f t="shared" si="2"/>
        <v>0.16278206289391961</v>
      </c>
      <c r="S149" s="1">
        <v>54.8</v>
      </c>
      <c r="T149" s="1">
        <v>1.2</v>
      </c>
      <c r="U149" s="1">
        <v>319.39999999999998</v>
      </c>
      <c r="V149" s="1">
        <v>77.599999999999994</v>
      </c>
      <c r="W149" s="1">
        <v>145.1</v>
      </c>
      <c r="X149" s="1">
        <v>12.3</v>
      </c>
    </row>
    <row r="150" spans="1:24" ht="16">
      <c r="A150" s="3">
        <v>39</v>
      </c>
      <c r="B150" s="1" t="s">
        <v>157</v>
      </c>
      <c r="C150" s="1" t="s">
        <v>182</v>
      </c>
      <c r="D150" s="1" t="s">
        <v>115</v>
      </c>
      <c r="E150" s="1" t="s">
        <v>68</v>
      </c>
      <c r="F150" s="1">
        <v>263302</v>
      </c>
      <c r="G150" s="1">
        <v>2559445</v>
      </c>
      <c r="H150" s="4">
        <v>8.5414481680232974</v>
      </c>
      <c r="I150" s="2">
        <v>3.8E-3</v>
      </c>
      <c r="J150" s="2">
        <v>3.722E-3</v>
      </c>
      <c r="K150" s="2">
        <v>3.2469999999999999E-3</v>
      </c>
      <c r="L150" s="2">
        <v>3.5899999999999999E-3</v>
      </c>
      <c r="M150" s="1">
        <v>1.1459999999999999</v>
      </c>
      <c r="N150" s="1">
        <v>1.0209999999999999</v>
      </c>
      <c r="O150" s="1">
        <v>1.17</v>
      </c>
      <c r="P150" s="1">
        <v>1.1859999999999999</v>
      </c>
      <c r="Q150" s="1">
        <v>0.73599999999999999</v>
      </c>
      <c r="R150" s="1">
        <f t="shared" si="2"/>
        <v>0.14750254235097093</v>
      </c>
      <c r="S150" s="1">
        <v>48.2</v>
      </c>
      <c r="T150" s="1">
        <v>8.1</v>
      </c>
      <c r="U150" s="1">
        <v>302.60000000000002</v>
      </c>
      <c r="V150" s="1">
        <v>62.2</v>
      </c>
      <c r="W150" s="1">
        <v>142.19999999999999</v>
      </c>
      <c r="X150" s="1">
        <v>26.4</v>
      </c>
    </row>
    <row r="151" spans="1:24" ht="16">
      <c r="A151" s="3">
        <v>40</v>
      </c>
      <c r="B151" s="1" t="s">
        <v>157</v>
      </c>
      <c r="C151" s="1" t="s">
        <v>183</v>
      </c>
      <c r="D151" s="1" t="s">
        <v>115</v>
      </c>
      <c r="E151" s="1" t="s">
        <v>135</v>
      </c>
      <c r="F151" s="1">
        <v>262634</v>
      </c>
      <c r="G151" s="1">
        <v>2556907</v>
      </c>
      <c r="H151" s="4">
        <v>7.8509531377513699</v>
      </c>
      <c r="I151" s="2">
        <v>9.7400000000000004E-4</v>
      </c>
      <c r="J151" s="2">
        <v>9.5180000000000004E-4</v>
      </c>
      <c r="K151" s="2">
        <v>8.432E-4</v>
      </c>
      <c r="L151" s="2">
        <v>9.2299999999999999E-4</v>
      </c>
      <c r="M151" s="1">
        <v>1.0229999999999999</v>
      </c>
      <c r="N151" s="1">
        <v>1.129</v>
      </c>
      <c r="O151" s="1">
        <v>1.155</v>
      </c>
      <c r="P151" s="1">
        <v>1.1679999999999999</v>
      </c>
      <c r="Q151" s="1">
        <v>0.68</v>
      </c>
      <c r="R151" s="1">
        <f t="shared" si="2"/>
        <v>0.13103434664239752</v>
      </c>
      <c r="S151" s="1">
        <v>18.7</v>
      </c>
      <c r="T151" s="1">
        <v>27.4</v>
      </c>
      <c r="U151" s="1">
        <v>242.7</v>
      </c>
      <c r="V151" s="1">
        <v>54.2</v>
      </c>
      <c r="W151" s="1">
        <v>120.3</v>
      </c>
      <c r="X151" s="1">
        <v>21.2</v>
      </c>
    </row>
    <row r="152" spans="1:24" ht="16">
      <c r="A152" s="3">
        <v>40</v>
      </c>
      <c r="B152" s="1" t="s">
        <v>157</v>
      </c>
      <c r="C152" s="1" t="s">
        <v>184</v>
      </c>
      <c r="D152" s="1" t="s">
        <v>115</v>
      </c>
      <c r="E152" s="1" t="s">
        <v>135</v>
      </c>
      <c r="F152" s="1">
        <v>262634</v>
      </c>
      <c r="G152" s="1">
        <v>2556907</v>
      </c>
      <c r="H152" s="4">
        <v>7.8509531377513699</v>
      </c>
      <c r="I152" s="2">
        <v>9.3700000000000001E-4</v>
      </c>
      <c r="J152" s="2">
        <v>9.1410000000000005E-4</v>
      </c>
      <c r="K152" s="2">
        <v>8.1729999999999997E-4</v>
      </c>
      <c r="L152" s="2">
        <v>8.8949999999999999E-4</v>
      </c>
      <c r="M152" s="1">
        <v>1.0249999999999999</v>
      </c>
      <c r="N152" s="1">
        <v>1.1180000000000001</v>
      </c>
      <c r="O152" s="1">
        <v>1.1459999999999999</v>
      </c>
      <c r="P152" s="1">
        <v>1.157</v>
      </c>
      <c r="Q152" s="1">
        <v>0.63800000000000001</v>
      </c>
      <c r="R152" s="1">
        <f t="shared" si="2"/>
        <v>0.12061923561356215</v>
      </c>
      <c r="S152" s="1">
        <v>28.5</v>
      </c>
      <c r="T152" s="1">
        <v>9.8000000000000007</v>
      </c>
      <c r="U152" s="1">
        <v>278.10000000000002</v>
      </c>
      <c r="V152" s="1">
        <v>63.6</v>
      </c>
      <c r="W152" s="1">
        <v>123</v>
      </c>
      <c r="X152" s="1">
        <v>24.2</v>
      </c>
    </row>
    <row r="153" spans="1:24" ht="16">
      <c r="A153" s="3">
        <v>40</v>
      </c>
      <c r="B153" s="1" t="s">
        <v>157</v>
      </c>
      <c r="C153" s="1" t="s">
        <v>185</v>
      </c>
      <c r="D153" s="1" t="s">
        <v>115</v>
      </c>
      <c r="E153" s="1" t="s">
        <v>135</v>
      </c>
      <c r="F153" s="1">
        <v>262634</v>
      </c>
      <c r="G153" s="1">
        <v>2556907</v>
      </c>
      <c r="H153" s="4">
        <v>7.8509531377513699</v>
      </c>
      <c r="I153" s="2">
        <v>8.1729999999999997E-4</v>
      </c>
      <c r="J153" s="2">
        <v>8.0179999999999997E-4</v>
      </c>
      <c r="K153" s="2">
        <v>7.2090000000000001E-4</v>
      </c>
      <c r="L153" s="2">
        <v>7.7999999999999999E-4</v>
      </c>
      <c r="M153" s="1">
        <v>1.0189999999999999</v>
      </c>
      <c r="N153" s="1">
        <v>1.1120000000000001</v>
      </c>
      <c r="O153" s="1">
        <v>1.1339999999999999</v>
      </c>
      <c r="P153" s="1">
        <v>1.145</v>
      </c>
      <c r="Q153" s="1">
        <v>0.69599999999999995</v>
      </c>
      <c r="R153" s="1">
        <f t="shared" si="2"/>
        <v>0.11360017605620168</v>
      </c>
      <c r="S153" s="1">
        <v>16.399999999999999</v>
      </c>
      <c r="T153" s="1">
        <v>19.100000000000001</v>
      </c>
      <c r="U153" s="1">
        <v>251.6</v>
      </c>
      <c r="V153" s="1">
        <v>58.7</v>
      </c>
      <c r="W153" s="1">
        <v>115.2</v>
      </c>
      <c r="X153" s="1">
        <v>23.7</v>
      </c>
    </row>
    <row r="154" spans="1:24" ht="16">
      <c r="A154" s="3">
        <v>41</v>
      </c>
      <c r="B154" s="1" t="s">
        <v>157</v>
      </c>
      <c r="C154" s="1" t="s">
        <v>186</v>
      </c>
      <c r="D154" s="1" t="s">
        <v>115</v>
      </c>
      <c r="E154" s="1" t="s">
        <v>68</v>
      </c>
      <c r="F154" s="1">
        <v>264303</v>
      </c>
      <c r="G154" s="1">
        <v>2558975</v>
      </c>
      <c r="H154" s="4">
        <v>7.4395567388351367</v>
      </c>
      <c r="I154" s="2">
        <v>1.1620000000000001E-3</v>
      </c>
      <c r="J154" s="2">
        <v>1.0939999999999999E-3</v>
      </c>
      <c r="K154" s="2">
        <v>1.0510000000000001E-3</v>
      </c>
      <c r="L154" s="2">
        <v>1.1019999999999999E-3</v>
      </c>
      <c r="M154" s="1">
        <v>1.04</v>
      </c>
      <c r="N154" s="1">
        <v>1.0620000000000001</v>
      </c>
      <c r="O154" s="1">
        <v>1.105</v>
      </c>
      <c r="P154" s="1">
        <v>1.1060000000000001</v>
      </c>
      <c r="Q154" s="1">
        <v>-0.20799999999999999</v>
      </c>
      <c r="R154" s="1">
        <f t="shared" si="2"/>
        <v>7.3783466982786927E-2</v>
      </c>
      <c r="S154" s="1">
        <v>135.5</v>
      </c>
      <c r="T154" s="1">
        <v>37.6</v>
      </c>
      <c r="U154" s="1">
        <v>346.2</v>
      </c>
      <c r="V154" s="1">
        <v>48.2</v>
      </c>
      <c r="W154" s="1">
        <v>238</v>
      </c>
      <c r="X154" s="1">
        <v>15.6</v>
      </c>
    </row>
    <row r="155" spans="1:24" ht="16">
      <c r="A155" s="3">
        <v>41</v>
      </c>
      <c r="B155" s="1" t="s">
        <v>157</v>
      </c>
      <c r="C155" s="1" t="s">
        <v>187</v>
      </c>
      <c r="D155" s="1" t="s">
        <v>115</v>
      </c>
      <c r="E155" s="1" t="s">
        <v>68</v>
      </c>
      <c r="F155" s="1">
        <v>264303</v>
      </c>
      <c r="G155" s="1">
        <v>2558975</v>
      </c>
      <c r="H155" s="4">
        <v>7.4395567388351367</v>
      </c>
      <c r="I155" s="2">
        <v>1.0640000000000001E-3</v>
      </c>
      <c r="J155" s="2">
        <v>1.003E-3</v>
      </c>
      <c r="K155" s="2">
        <v>9.7650000000000005E-4</v>
      </c>
      <c r="L155" s="2">
        <v>1.0139999999999999E-3</v>
      </c>
      <c r="M155" s="1">
        <v>1.0269999999999999</v>
      </c>
      <c r="N155" s="1">
        <v>1.06</v>
      </c>
      <c r="O155" s="1">
        <v>1.089</v>
      </c>
      <c r="P155" s="1">
        <v>1.091</v>
      </c>
      <c r="Q155" s="1">
        <v>-0.37</v>
      </c>
      <c r="R155" s="1">
        <f t="shared" si="2"/>
        <v>6.579513659838393E-2</v>
      </c>
      <c r="S155" s="1">
        <v>138.4</v>
      </c>
      <c r="T155" s="1">
        <v>36.700000000000003</v>
      </c>
      <c r="U155" s="1">
        <v>2.8</v>
      </c>
      <c r="V155" s="1">
        <v>43.8</v>
      </c>
      <c r="W155" s="1">
        <v>247.6</v>
      </c>
      <c r="X155" s="1">
        <v>23.9</v>
      </c>
    </row>
    <row r="156" spans="1:24" ht="16">
      <c r="A156" s="3">
        <v>41</v>
      </c>
      <c r="B156" s="1" t="s">
        <v>157</v>
      </c>
      <c r="C156" s="1" t="s">
        <v>188</v>
      </c>
      <c r="D156" s="1" t="s">
        <v>115</v>
      </c>
      <c r="E156" s="1" t="s">
        <v>68</v>
      </c>
      <c r="F156" s="1">
        <v>264303</v>
      </c>
      <c r="G156" s="1">
        <v>2558975</v>
      </c>
      <c r="H156" s="4">
        <v>7.4395567388351367</v>
      </c>
      <c r="I156" s="2">
        <v>9.8069999999999993E-4</v>
      </c>
      <c r="J156" s="2">
        <v>9.255E-4</v>
      </c>
      <c r="K156" s="2">
        <v>8.9389999999999999E-4</v>
      </c>
      <c r="L156" s="2">
        <v>9.3340000000000003E-4</v>
      </c>
      <c r="M156" s="1">
        <v>1.0349999999999999</v>
      </c>
      <c r="N156" s="1">
        <v>1.06</v>
      </c>
      <c r="O156" s="1">
        <v>1.097</v>
      </c>
      <c r="P156" s="1">
        <v>1.0980000000000001</v>
      </c>
      <c r="Q156" s="1">
        <v>-0.251</v>
      </c>
      <c r="R156" s="1">
        <f t="shared" si="2"/>
        <v>6.9462219947249035E-2</v>
      </c>
      <c r="S156" s="1">
        <v>144.4</v>
      </c>
      <c r="T156" s="1">
        <v>33.9</v>
      </c>
      <c r="U156" s="1">
        <v>10.7</v>
      </c>
      <c r="V156" s="1">
        <v>45.9</v>
      </c>
      <c r="W156" s="1">
        <v>252.4</v>
      </c>
      <c r="X156" s="1">
        <v>24.7</v>
      </c>
    </row>
    <row r="157" spans="1:24" ht="16">
      <c r="A157" s="3">
        <v>42</v>
      </c>
      <c r="B157" s="1" t="s">
        <v>157</v>
      </c>
      <c r="C157" s="1" t="s">
        <v>189</v>
      </c>
      <c r="D157" s="1" t="s">
        <v>115</v>
      </c>
      <c r="E157" s="1" t="s">
        <v>68</v>
      </c>
      <c r="F157" s="1">
        <v>264303</v>
      </c>
      <c r="G157" s="1">
        <v>2558975</v>
      </c>
      <c r="H157" s="4">
        <v>7.4395567388351367</v>
      </c>
      <c r="I157" s="2">
        <v>1.2620000000000001E-3</v>
      </c>
      <c r="J157" s="2">
        <v>1.1900000000000001E-3</v>
      </c>
      <c r="K157" s="2">
        <v>1.145E-3</v>
      </c>
      <c r="L157" s="2">
        <v>1.199E-3</v>
      </c>
      <c r="M157" s="1">
        <v>1.04</v>
      </c>
      <c r="N157" s="1">
        <v>1.06</v>
      </c>
      <c r="O157" s="1">
        <v>1.103</v>
      </c>
      <c r="P157" s="1">
        <v>1.103</v>
      </c>
      <c r="Q157" s="1">
        <v>-0.19700000000000001</v>
      </c>
      <c r="R157" s="1">
        <f t="shared" si="2"/>
        <v>7.211102550927985E-2</v>
      </c>
      <c r="S157" s="1">
        <v>136</v>
      </c>
      <c r="T157" s="1">
        <v>34.5</v>
      </c>
      <c r="U157" s="1">
        <v>338.7</v>
      </c>
      <c r="V157" s="1">
        <v>53.3</v>
      </c>
      <c r="W157" s="1">
        <v>233.7</v>
      </c>
      <c r="X157" s="1">
        <v>10.9</v>
      </c>
    </row>
    <row r="158" spans="1:24" ht="16">
      <c r="A158" s="3">
        <v>42</v>
      </c>
      <c r="B158" s="1" t="s">
        <v>157</v>
      </c>
      <c r="C158" s="1" t="s">
        <v>190</v>
      </c>
      <c r="D158" s="1" t="s">
        <v>115</v>
      </c>
      <c r="E158" s="1" t="s">
        <v>68</v>
      </c>
      <c r="F158" s="1">
        <v>264303</v>
      </c>
      <c r="G158" s="1">
        <v>2558975</v>
      </c>
      <c r="H158" s="4">
        <v>7.4395567388351367</v>
      </c>
      <c r="I158" s="2">
        <v>1.8550000000000001E-3</v>
      </c>
      <c r="J158" s="2">
        <v>1.5460000000000001E-3</v>
      </c>
      <c r="K158" s="2">
        <v>1.4120000000000001E-3</v>
      </c>
      <c r="L158" s="2">
        <v>1.6050000000000001E-3</v>
      </c>
      <c r="M158" s="1">
        <v>1.095</v>
      </c>
      <c r="N158" s="1">
        <v>1.2</v>
      </c>
      <c r="O158" s="1">
        <v>1.3140000000000001</v>
      </c>
      <c r="P158" s="1">
        <v>1.321</v>
      </c>
      <c r="Q158" s="1">
        <v>-0.33400000000000002</v>
      </c>
      <c r="R158" s="1">
        <f t="shared" si="2"/>
        <v>0.22141589825484523</v>
      </c>
      <c r="S158" s="1">
        <v>23.5</v>
      </c>
      <c r="T158" s="1">
        <v>9.4</v>
      </c>
      <c r="U158" s="1">
        <v>290.5</v>
      </c>
      <c r="V158" s="1">
        <v>17.5</v>
      </c>
      <c r="W158" s="1">
        <v>140.6</v>
      </c>
      <c r="X158" s="1">
        <v>70</v>
      </c>
    </row>
    <row r="159" spans="1:24" ht="16">
      <c r="A159" s="3">
        <v>42</v>
      </c>
      <c r="B159" s="1" t="s">
        <v>157</v>
      </c>
      <c r="C159" s="1" t="s">
        <v>191</v>
      </c>
      <c r="D159" s="1" t="s">
        <v>115</v>
      </c>
      <c r="E159" s="1" t="s">
        <v>68</v>
      </c>
      <c r="F159" s="1">
        <v>264303</v>
      </c>
      <c r="G159" s="1">
        <v>2558975</v>
      </c>
      <c r="H159" s="4">
        <v>7.4395567388351367</v>
      </c>
      <c r="I159" s="2">
        <v>1.3680000000000001E-3</v>
      </c>
      <c r="J159" s="2">
        <v>1.305E-3</v>
      </c>
      <c r="K159" s="2">
        <v>1.214E-3</v>
      </c>
      <c r="L159" s="2">
        <v>1.2960000000000001E-3</v>
      </c>
      <c r="M159" s="1">
        <v>1.075</v>
      </c>
      <c r="N159" s="1">
        <v>1.048</v>
      </c>
      <c r="O159" s="1">
        <v>1.127</v>
      </c>
      <c r="P159" s="1">
        <v>1.1279999999999999</v>
      </c>
      <c r="Q159" s="1">
        <v>0.21099999999999999</v>
      </c>
      <c r="R159" s="1">
        <f t="shared" si="2"/>
        <v>8.9044932477934977E-2</v>
      </c>
      <c r="S159" s="1">
        <v>27.2</v>
      </c>
      <c r="T159" s="1">
        <v>10.199999999999999</v>
      </c>
      <c r="U159" s="1">
        <v>297.10000000000002</v>
      </c>
      <c r="V159" s="1">
        <v>0.7</v>
      </c>
      <c r="W159" s="1">
        <v>203.3</v>
      </c>
      <c r="X159" s="1">
        <v>79.8</v>
      </c>
    </row>
    <row r="160" spans="1:24" ht="16">
      <c r="A160" s="3">
        <v>42</v>
      </c>
      <c r="B160" s="1" t="s">
        <v>157</v>
      </c>
      <c r="C160" s="1" t="s">
        <v>192</v>
      </c>
      <c r="D160" s="1" t="s">
        <v>115</v>
      </c>
      <c r="E160" s="1" t="s">
        <v>68</v>
      </c>
      <c r="F160" s="1">
        <v>264303</v>
      </c>
      <c r="G160" s="1">
        <v>2558975</v>
      </c>
      <c r="H160" s="4">
        <v>7.4395567388351367</v>
      </c>
      <c r="I160" s="2">
        <v>1.297E-3</v>
      </c>
      <c r="J160" s="2">
        <v>1.2409999999999999E-3</v>
      </c>
      <c r="K160" s="2">
        <v>1.1709999999999999E-3</v>
      </c>
      <c r="L160" s="2">
        <v>1.2359999999999999E-3</v>
      </c>
      <c r="M160" s="1">
        <v>1.06</v>
      </c>
      <c r="N160" s="1">
        <v>1.0449999999999999</v>
      </c>
      <c r="O160" s="1">
        <v>1.1080000000000001</v>
      </c>
      <c r="P160" s="1">
        <v>1.1080000000000001</v>
      </c>
      <c r="Q160" s="1">
        <v>0.14499999999999999</v>
      </c>
      <c r="R160" s="1">
        <f t="shared" si="2"/>
        <v>7.4999999999999997E-2</v>
      </c>
      <c r="S160" s="1">
        <v>23.2</v>
      </c>
      <c r="T160" s="1">
        <v>9.1999999999999993</v>
      </c>
      <c r="U160" s="1">
        <v>291</v>
      </c>
      <c r="V160" s="1">
        <v>13.2</v>
      </c>
      <c r="W160" s="1">
        <v>147.30000000000001</v>
      </c>
      <c r="X160" s="1">
        <v>73.8</v>
      </c>
    </row>
    <row r="161" spans="1:24" ht="16">
      <c r="A161" s="3">
        <v>43</v>
      </c>
      <c r="B161" s="1" t="s">
        <v>193</v>
      </c>
      <c r="C161" s="1" t="s">
        <v>194</v>
      </c>
      <c r="D161" s="1" t="s">
        <v>25</v>
      </c>
      <c r="E161" s="1" t="s">
        <v>195</v>
      </c>
      <c r="F161" s="1">
        <v>266229</v>
      </c>
      <c r="G161" s="1">
        <v>2558359</v>
      </c>
      <c r="H161" s="4">
        <v>5.4635918111463493</v>
      </c>
      <c r="I161" s="2">
        <v>2.7299999999999998E-3</v>
      </c>
      <c r="J161" s="2">
        <v>2.6679999999999998E-3</v>
      </c>
      <c r="K161" s="2">
        <v>2.4009999999999999E-3</v>
      </c>
      <c r="L161" s="2">
        <v>2.5999999999999999E-3</v>
      </c>
      <c r="M161" s="1">
        <v>1.111</v>
      </c>
      <c r="N161" s="1">
        <v>1.0229999999999999</v>
      </c>
      <c r="O161" s="1">
        <v>1.137</v>
      </c>
      <c r="P161" s="1">
        <v>1.147</v>
      </c>
      <c r="Q161" s="1">
        <v>0.64700000000000002</v>
      </c>
      <c r="R161" s="1">
        <f t="shared" si="2"/>
        <v>0.11335784048754631</v>
      </c>
      <c r="S161" s="1">
        <v>36.700000000000003</v>
      </c>
      <c r="T161" s="1">
        <v>24.6</v>
      </c>
      <c r="U161" s="1">
        <v>284.3</v>
      </c>
      <c r="V161" s="1">
        <v>39.799999999999997</v>
      </c>
      <c r="W161" s="1">
        <v>149.5</v>
      </c>
      <c r="X161" s="1">
        <v>40.299999999999997</v>
      </c>
    </row>
    <row r="162" spans="1:24" ht="16">
      <c r="A162" s="3">
        <v>43</v>
      </c>
      <c r="B162" s="1" t="s">
        <v>193</v>
      </c>
      <c r="C162" s="1" t="s">
        <v>196</v>
      </c>
      <c r="D162" s="1" t="s">
        <v>25</v>
      </c>
      <c r="E162" s="1" t="s">
        <v>195</v>
      </c>
      <c r="F162" s="1">
        <v>266229</v>
      </c>
      <c r="G162" s="1">
        <v>2558359</v>
      </c>
      <c r="H162" s="4">
        <v>5.4635918111463493</v>
      </c>
      <c r="I162" s="2">
        <v>2.4450000000000001E-3</v>
      </c>
      <c r="J162" s="2">
        <v>2.3630000000000001E-3</v>
      </c>
      <c r="K162" s="2">
        <v>2.1250000000000002E-3</v>
      </c>
      <c r="L162" s="2">
        <v>2.3110000000000001E-3</v>
      </c>
      <c r="M162" s="1">
        <v>1.1120000000000001</v>
      </c>
      <c r="N162" s="1">
        <v>1.0349999999999999</v>
      </c>
      <c r="O162" s="1">
        <v>1.151</v>
      </c>
      <c r="P162" s="1">
        <v>1.1579999999999999</v>
      </c>
      <c r="Q162" s="1">
        <v>0.51300000000000001</v>
      </c>
      <c r="R162" s="1">
        <f t="shared" si="2"/>
        <v>0.11734138229968155</v>
      </c>
      <c r="S162" s="1">
        <v>261.39999999999998</v>
      </c>
      <c r="T162" s="1">
        <v>26.6</v>
      </c>
      <c r="U162" s="1">
        <v>11.7</v>
      </c>
      <c r="V162" s="1">
        <v>34.799999999999997</v>
      </c>
      <c r="W162" s="1">
        <v>143.1</v>
      </c>
      <c r="X162" s="1">
        <v>43.5</v>
      </c>
    </row>
    <row r="163" spans="1:24" ht="16">
      <c r="A163" s="3">
        <v>44</v>
      </c>
      <c r="B163" s="1" t="s">
        <v>193</v>
      </c>
      <c r="C163" s="1" t="s">
        <v>197</v>
      </c>
      <c r="D163" s="1" t="s">
        <v>25</v>
      </c>
      <c r="E163" s="1" t="s">
        <v>26</v>
      </c>
      <c r="F163" s="1">
        <v>266437</v>
      </c>
      <c r="G163" s="1">
        <v>2558425</v>
      </c>
      <c r="H163" s="4">
        <v>5.3164585271591855</v>
      </c>
      <c r="I163" s="2">
        <v>1.7099999999999999E-3</v>
      </c>
      <c r="J163" s="2">
        <v>1.6000000000000001E-3</v>
      </c>
      <c r="K163" s="2">
        <v>1.48E-3</v>
      </c>
      <c r="L163" s="2">
        <v>1.6000000000000001E-3</v>
      </c>
      <c r="M163" s="1">
        <v>1.069</v>
      </c>
      <c r="N163" s="1">
        <v>1.083</v>
      </c>
      <c r="O163" s="1">
        <v>1.1579999999999999</v>
      </c>
      <c r="P163" s="1">
        <v>1.1579999999999999</v>
      </c>
      <c r="Q163" s="1">
        <v>9.0999999999999998E-2</v>
      </c>
      <c r="R163" s="1">
        <f t="shared" si="2"/>
        <v>0.10793516572461445</v>
      </c>
      <c r="S163" s="1">
        <v>28</v>
      </c>
      <c r="T163" s="1">
        <v>14.2</v>
      </c>
      <c r="U163" s="1">
        <v>122.6</v>
      </c>
      <c r="V163" s="1">
        <v>17.399999999999999</v>
      </c>
      <c r="W163" s="1">
        <v>260.89999999999998</v>
      </c>
      <c r="X163" s="1">
        <v>67.2</v>
      </c>
    </row>
    <row r="164" spans="1:24" ht="16">
      <c r="A164" s="3">
        <v>44</v>
      </c>
      <c r="B164" s="1" t="s">
        <v>193</v>
      </c>
      <c r="C164" s="1" t="s">
        <v>198</v>
      </c>
      <c r="D164" s="1" t="s">
        <v>25</v>
      </c>
      <c r="E164" s="1" t="s">
        <v>26</v>
      </c>
      <c r="F164" s="1">
        <v>266437</v>
      </c>
      <c r="G164" s="1">
        <v>2558425</v>
      </c>
      <c r="H164" s="4">
        <v>5.3164585271591855</v>
      </c>
      <c r="I164" s="2">
        <v>1.5200000000000001E-3</v>
      </c>
      <c r="J164" s="2">
        <v>1.42E-3</v>
      </c>
      <c r="K164" s="2">
        <v>1.31E-3</v>
      </c>
      <c r="L164" s="2">
        <v>1.42E-3</v>
      </c>
      <c r="M164" s="1">
        <v>1.0649999999999999</v>
      </c>
      <c r="N164" s="1">
        <v>1.0860000000000001</v>
      </c>
      <c r="O164" s="1">
        <v>1.1559999999999999</v>
      </c>
      <c r="P164" s="1">
        <v>1.157</v>
      </c>
      <c r="Q164" s="1">
        <v>0.13400000000000001</v>
      </c>
      <c r="R164" s="1">
        <f t="shared" si="2"/>
        <v>0.10780074211247345</v>
      </c>
      <c r="S164" s="1">
        <v>27</v>
      </c>
      <c r="T164" s="1">
        <v>13.1</v>
      </c>
      <c r="U164" s="1">
        <v>120.3</v>
      </c>
      <c r="V164" s="1">
        <v>13.6</v>
      </c>
      <c r="W164" s="1">
        <v>254.8</v>
      </c>
      <c r="X164" s="1">
        <v>70.900000000000006</v>
      </c>
    </row>
    <row r="165" spans="1:24" ht="16">
      <c r="A165" s="3">
        <v>44</v>
      </c>
      <c r="B165" s="1" t="s">
        <v>193</v>
      </c>
      <c r="C165" s="1" t="s">
        <v>199</v>
      </c>
      <c r="D165" s="1" t="s">
        <v>25</v>
      </c>
      <c r="E165" s="1" t="s">
        <v>26</v>
      </c>
      <c r="F165" s="1">
        <v>266437</v>
      </c>
      <c r="G165" s="1">
        <v>2558425</v>
      </c>
      <c r="H165" s="4">
        <v>5.3164585271591855</v>
      </c>
      <c r="I165" s="2">
        <v>1.6299999999999999E-3</v>
      </c>
      <c r="J165" s="2">
        <v>1.5200000000000001E-3</v>
      </c>
      <c r="K165" s="2">
        <v>1.41E-3</v>
      </c>
      <c r="L165" s="2">
        <v>1.5200000000000001E-3</v>
      </c>
      <c r="M165" s="1">
        <v>1.0680000000000001</v>
      </c>
      <c r="N165" s="1">
        <v>1.0840000000000001</v>
      </c>
      <c r="O165" s="1">
        <v>1.157</v>
      </c>
      <c r="P165" s="1">
        <v>1.1579999999999999</v>
      </c>
      <c r="Q165" s="1">
        <v>0.10100000000000001</v>
      </c>
      <c r="R165" s="1">
        <f t="shared" si="2"/>
        <v>0.10807404868885047</v>
      </c>
      <c r="S165" s="1">
        <v>25.9</v>
      </c>
      <c r="T165" s="1">
        <v>14.9</v>
      </c>
      <c r="U165" s="1">
        <v>120.4</v>
      </c>
      <c r="V165" s="1">
        <v>16.100000000000001</v>
      </c>
      <c r="W165" s="1">
        <v>255.3</v>
      </c>
      <c r="X165" s="1">
        <v>67.7</v>
      </c>
    </row>
    <row r="166" spans="1:24" ht="16">
      <c r="A166" s="3">
        <v>44</v>
      </c>
      <c r="B166" s="1" t="s">
        <v>193</v>
      </c>
      <c r="C166" s="1" t="s">
        <v>200</v>
      </c>
      <c r="D166" s="1" t="s">
        <v>25</v>
      </c>
      <c r="E166" s="1" t="s">
        <v>26</v>
      </c>
      <c r="F166" s="1">
        <v>266437</v>
      </c>
      <c r="G166" s="1">
        <v>2558425</v>
      </c>
      <c r="H166" s="4">
        <v>5.3164585271591855</v>
      </c>
      <c r="I166" s="2">
        <v>1.8E-3</v>
      </c>
      <c r="J166" s="2">
        <v>1.6800000000000001E-3</v>
      </c>
      <c r="K166" s="2">
        <v>1.5499999999999999E-3</v>
      </c>
      <c r="L166" s="2">
        <v>1.6800000000000001E-3</v>
      </c>
      <c r="M166" s="1">
        <v>1.0680000000000001</v>
      </c>
      <c r="N166" s="1">
        <v>1.0860000000000001</v>
      </c>
      <c r="O166" s="1">
        <v>1.1599999999999999</v>
      </c>
      <c r="P166" s="1">
        <v>1.161</v>
      </c>
      <c r="Q166" s="1">
        <v>0.113</v>
      </c>
      <c r="R166" s="1">
        <f t="shared" si="2"/>
        <v>0.10963576058932606</v>
      </c>
      <c r="S166" s="1">
        <v>27</v>
      </c>
      <c r="T166" s="1">
        <v>18.3</v>
      </c>
      <c r="U166" s="1">
        <v>122.2</v>
      </c>
      <c r="V166" s="1">
        <v>15.3</v>
      </c>
      <c r="W166" s="1">
        <v>249.6</v>
      </c>
      <c r="X166" s="1">
        <v>65.8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連睿宇</dc:creator>
  <cp:lastModifiedBy>連睿宇</cp:lastModifiedBy>
  <dcterms:created xsi:type="dcterms:W3CDTF">2026-01-03T07:55:41Z</dcterms:created>
  <dcterms:modified xsi:type="dcterms:W3CDTF">2026-01-03T08:31:14Z</dcterms:modified>
</cp:coreProperties>
</file>